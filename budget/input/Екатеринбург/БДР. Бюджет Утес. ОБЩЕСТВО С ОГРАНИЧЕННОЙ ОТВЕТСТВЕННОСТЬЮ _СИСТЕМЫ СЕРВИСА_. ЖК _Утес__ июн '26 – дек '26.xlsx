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e50bf3dbd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174d3dbd9134c65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858cc00c04970" /><Relationship Type="http://schemas.openxmlformats.org/officeDocument/2006/relationships/worksheet" Target="/xl/worksheets/sheet1.xml" Id="R2174d3dbd9134c65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"Утес"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Доходы</x:t>
        </x:is>
      </x:c>
      <x:c s="4" t="n">
        <x:v>872916.16</x:v>
      </x:c>
      <x:c s="4" t="n">
        <x:v>218229.04</x:v>
      </x:c>
      <x:c s="4" t="n">
        <x:v>218229.04</x:v>
      </x:c>
      <x:c s="4" t="n">
        <x:v>218229.04</x:v>
      </x:c>
      <x:c s="4" t="n">
        <x:v>218229.04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872916.16</x:v>
      </x:c>
      <x:c s="4" t="n">
        <x:v>218229.04</x:v>
      </x:c>
      <x:c s="4" t="n">
        <x:v>218229.04</x:v>
      </x:c>
      <x:c s="4" t="n">
        <x:v>218229.04</x:v>
      </x:c>
      <x:c s="4" t="n">
        <x:v>218229.04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872916.16</x:v>
      </x:c>
      <x:c s="4" t="n">
        <x:v>218229.04</x:v>
      </x:c>
      <x:c s="4" t="n">
        <x:v>218229.04</x:v>
      </x:c>
      <x:c s="4" t="n">
        <x:v>218229.04</x:v>
      </x:c>
      <x:c s="4" t="n">
        <x:v>218229.04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1">
      <x:c s="3" t="inlineStr">
        <x:is>
          <x:t xml:space="preserve">    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2">
      <x:c s="3" t="inlineStr">
        <x:is>
          <x:t xml:space="preserve">    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2">
      <x:c s="3" t="inlineStr">
        <x:is>
          <x:t xml:space="preserve">    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2">
      <x:c s="3" t="inlineStr">
        <x:is>
          <x:t xml:space="preserve">    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0">
      <x:c s="3" t="inlineStr">
        <x:is>
          <x:t xml:space="preserve">Расходы</x:t>
        </x:is>
      </x:c>
      <x:c s="4" t="n">
        <x:v>1249547.5499999998</x:v>
      </x:c>
      <x:c s="4" t="n">
        <x:v>306364.47</x:v>
      </x:c>
      <x:c s="4" t="n">
        <x:v>314394.36</x:v>
      </x:c>
      <x:c s="4" t="n">
        <x:v>314394.36</x:v>
      </x:c>
      <x:c s="4" t="n">
        <x:v>314394.36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1">
      <x:c s="3" t="inlineStr">
        <x:is>
          <x:t xml:space="preserve">    Переменные</x:t>
        </x:is>
      </x:c>
      <x:c s="4" t="n">
        <x:v>7219.98</x:v>
      </x:c>
      <x:c s="4" t="n">
        <x:v>1219.98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2">
      <x:c s="3" t="inlineStr">
        <x:is>
          <x:t xml:space="preserve">        Расходные материалы и инстументы (МОП)</x:t>
        </x:is>
      </x:c>
      <x:c s="4" t="n">
        <x:v>3219.98</x:v>
      </x:c>
      <x:c s="4" t="n">
        <x:v>219.98</x:v>
      </x:c>
      <x:c s="4" t="n">
        <x:v>1000</x:v>
      </x:c>
      <x:c s="4" t="n">
        <x:v>1000</x:v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2">
      <x:c s="3" t="inlineStr">
        <x:is>
          <x:t xml:space="preserve">        Расходные материалы и инстументы  (ПТ)</x:t>
        </x:is>
      </x:c>
      <x:c s="4" t="n">
        <x:v>4000</x:v>
      </x:c>
      <x:c s="4" t="n">
        <x:v>1000</x:v>
      </x:c>
      <x:c s="4" t="n">
        <x:v>1000</x:v>
      </x:c>
      <x:c s="4" t="n">
        <x:v>1000</x:v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Заработная плата  (МОП)</x:t>
        </x:is>
      </x:c>
      <x:c s="4" t="n">
        <x:v>340000</x:v>
      </x:c>
      <x:c s="4" t="n">
        <x:v>85000</x:v>
      </x:c>
      <x:c s="4" t="n">
        <x:v>85000</x:v>
      </x:c>
      <x:c s="4" t="n">
        <x:v>85000</x:v>
      </x:c>
      <x:c s="4" t="n">
        <x:v>85000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Заработная плата (ПТ)</x:t>
        </x:is>
      </x:c>
      <x:c s="4" t="n">
        <x:v>500000</x:v>
      </x:c>
      <x:c s="4" t="n">
        <x:v>125000</x:v>
      </x:c>
      <x:c s="4" t="n">
        <x:v>125000</x:v>
      </x:c>
      <x:c s="4" t="n">
        <x:v>125000</x:v>
      </x:c>
      <x:c s="4" t="n">
        <x:v>125000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Налоги с ФОТ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Налоги с ФОТ (ПТ)</x:t>
        </x:is>
      </x:c>
      <x:c s="4" t="n">
        <x:v>48631.75</x:v>
      </x:c>
      <x:c s="4" t="n">
        <x:v>6631.75</x:v>
      </x:c>
      <x:c s="4" t="n">
        <x:v>14000</x:v>
      </x:c>
      <x:c s="4" t="n">
        <x:v>14000</x:v>
      </x:c>
      <x:c s="4" t="n">
        <x:v>14000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1">
      <x:c s="3" t="inlineStr">
        <x:is>
          <x:t xml:space="preserve">    Ремонт оборудования (ПТ)</x:t>
        </x:is>
      </x:c>
      <x:c s="4" t="n">
        <x:v>12000</x:v>
      </x:c>
      <x:c s="4" t="n">
        <x:v>3000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1">
      <x:c s="3" t="inlineStr">
        <x:is>
          <x:t xml:space="preserve">    Общехозяйственные</x:t>
        </x:is>
      </x:c>
      <x:c s="4" t="n">
        <x:v>136118.38</x:v>
      </x:c>
      <x:c s="4" t="n">
        <x:v>34118.380000000005</x:v>
      </x:c>
      <x:c s="4" t="n">
        <x:v>34000</x:v>
      </x:c>
      <x:c s="4" t="n">
        <x:v>34000</x:v>
      </x:c>
      <x:c s="4" t="n">
        <x:v>34000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Аутсорс (направления)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Заработная плата МО АУП</x:t>
        </x:is>
      </x:c>
      <x:c s="4" t="n">
        <x:v>80000</x:v>
      </x:c>
      <x:c s="4" t="n">
        <x:v>20000</x:v>
      </x:c>
      <x:c s="4" t="n">
        <x:v>20000</x:v>
      </x:c>
      <x:c s="4" t="n">
        <x:v>20000</x:v>
      </x:c>
      <x:c s="4" t="n">
        <x:v>20000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Инструменты: ГСМ</x:t>
        </x:is>
      </x:c>
      <x:c s="4" t="n">
        <x:v>4118.38</x:v>
      </x:c>
      <x:c s="4" t="n">
        <x:v>1118.38</x:v>
      </x:c>
      <x:c s="4" t="n">
        <x:v>1000</x:v>
      </x:c>
      <x:c s="4" t="n">
        <x:v>1000</x:v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4" outlineLevel="2">
      <x:c s="3" t="inlineStr">
        <x:is>
          <x:t xml:space="preserve">        Налоги с ФОТ (ИП)</x:t>
        </x:is>
      </x:c>
      <x:c s="4" t="n">
        <x:v>52000</x:v>
      </x:c>
      <x:c s="4" t="n">
        <x:v>13000</x:v>
      </x:c>
      <x:c s="4" t="n">
        <x:v>13000</x:v>
      </x:c>
      <x:c s="4" t="n">
        <x:v>13000</x:v>
      </x:c>
      <x:c s="4" t="n">
        <x:v>13000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5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2">
      <x:c s="3" t="inlineStr">
        <x:is>
          <x:t xml:space="preserve">        Комиссия за перевод ЗП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Расход БЭК-ОФИС</x:t>
        </x:is>
      </x:c>
      <x:c s="4" t="n">
        <x:v>150809.56</x:v>
      </x:c>
      <x:c s="4" t="n">
        <x:v>37702.39</x:v>
      </x:c>
      <x:c s="4" t="n">
        <x:v>37702.39</x:v>
      </x:c>
      <x:c s="4" t="n">
        <x:v>37702.39</x:v>
      </x:c>
      <x:c s="4" t="n">
        <x:v>37702.39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1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2" outlineLevel="1">
      <x:c s="3" t="inlineStr">
        <x:is>
          <x:t xml:space="preserve">    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2">
      <x:c s="3" t="inlineStr">
        <x:is>
          <x:t xml:space="preserve">    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2">
      <x:c s="3" t="inlineStr">
        <x:is>
          <x:t xml:space="preserve">    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Налог на прибыль</x:t>
        </x:is>
      </x:c>
      <x:c s="4" t="n">
        <x:v>54767.88</x:v>
      </x:c>
      <x:c s="4" t="n">
        <x:v>13691.97</x:v>
      </x:c>
      <x:c s="4" t="n">
        <x:v>13691.97</x:v>
      </x:c>
      <x:c s="4" t="n">
        <x:v>13691.97</x:v>
      </x:c>
      <x:c s="4" t="n">
        <x:v>13691.97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2">
      <x:c s="3" t="inlineStr">
        <x:is>
          <x:t xml:space="preserve">        Налоги УСН</x:t>
        </x:is>
      </x:c>
      <x:c s="4" t="n">
        <x:v>13200</x:v>
      </x:c>
      <x:c s="4" t="n">
        <x:v>3300</x:v>
      </x:c>
      <x:c s="4" t="n">
        <x:v>3300</x:v>
      </x:c>
      <x:c s="4" t="n">
        <x:v>3300</x:v>
      </x:c>
      <x:c s="4" t="n">
        <x:v>3300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2">
      <x:c s="3" t="inlineStr">
        <x:is>
          <x:t xml:space="preserve">        Налоги НДС 5%</x:t>
        </x:is>
      </x:c>
      <x:c s="4" t="n">
        <x:v>41567.88</x:v>
      </x:c>
      <x:c s="4" t="n">
        <x:v>10391.97</x:v>
      </x:c>
      <x:c s="4" t="n">
        <x:v>10391.97</x:v>
      </x:c>
      <x:c s="4" t="n">
        <x:v>10391.97</x:v>
      </x:c>
      <x:c s="4" t="n">
        <x:v>10391.97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1">
      <x:c s="3" t="inlineStr">
        <x:is>
          <x:t xml:space="preserve">    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0" outlineLevel="2">
      <x:c s="3" t="inlineStr">
        <x:is>
          <x:t xml:space="preserve">    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1" outlineLevel="0">
      <x:c s="1" t="inlineStr">
        <x:is>
          <x:t xml:space="preserve">Чистая прибыль/убыток</x:t>
        </x:is>
      </x:c>
      <x:c s="2" t="n">
        <x:v>-376631.3899999998</x:v>
      </x:c>
      <x:c s="2" t="n">
        <x:v>-88135.42999999996</x:v>
      </x:c>
      <x:c s="2" t="n">
        <x:v>-96165.31999999998</x:v>
      </x:c>
      <x:c s="2" t="n">
        <x:v>-96165.31999999998</x:v>
      </x:c>
      <x:c s="2" t="n">
        <x:v>-96165.31999999998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2" outlineLevel="0">
      <x:c s="1" t="inlineStr">
        <x:is>
          <x:t xml:space="preserve">Рентабельность, %</x:t>
        </x:is>
      </x:c>
      <x:c s="2" t="inlineStr">
        <x:is>
          <x:t xml:space="preserve">-43.15%</x:t>
        </x:is>
      </x:c>
      <x:c s="2" t="inlineStr">
        <x:is>
          <x:t xml:space="preserve">-40.39%</x:t>
        </x:is>
      </x:c>
      <x:c s="2" t="inlineStr">
        <x:is>
          <x:t xml:space="preserve">-44.07%</x:t>
        </x:is>
      </x:c>
      <x:c s="2" t="inlineStr">
        <x:is>
          <x:t xml:space="preserve">-44.07%</x:t>
        </x:is>
      </x:c>
      <x:c s="2" t="inlineStr">
        <x:is>
          <x:t xml:space="preserve">-44.07%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