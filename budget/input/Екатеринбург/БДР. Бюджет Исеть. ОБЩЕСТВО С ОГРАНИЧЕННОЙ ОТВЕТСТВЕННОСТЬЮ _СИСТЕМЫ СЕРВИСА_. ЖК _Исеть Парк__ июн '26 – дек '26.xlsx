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bef58d847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f2750c4a5c864a40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2ff62970143b9" /><Relationship Type="http://schemas.openxmlformats.org/officeDocument/2006/relationships/worksheet" Target="/xl/worksheets/sheet1.xml" Id="Rf2750c4a5c864a40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"Исеть Парк"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Доходы</x:t>
        </x:is>
      </x:c>
      <x:c s="4" t="n">
        <x:v>2998544</x:v>
      </x:c>
      <x:c s="4" t="n">
        <x:v>749636</x:v>
      </x:c>
      <x:c s="4" t="n">
        <x:v>749636</x:v>
      </x:c>
      <x:c s="4" t="n">
        <x:v>749636</x:v>
      </x:c>
      <x:c s="4" t="n">
        <x:v>749636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2998544</x:v>
      </x:c>
      <x:c s="4" t="n">
        <x:v>749636</x:v>
      </x:c>
      <x:c s="4" t="n">
        <x:v>749636</x:v>
      </x:c>
      <x:c s="4" t="n">
        <x:v>749636</x:v>
      </x:c>
      <x:c s="4" t="n">
        <x:v>749636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2998544</x:v>
      </x:c>
      <x:c s="4" t="n">
        <x:v>749636</x:v>
      </x:c>
      <x:c s="4" t="n">
        <x:v>749636</x:v>
      </x:c>
      <x:c s="4" t="n">
        <x:v>749636</x:v>
      </x:c>
      <x:c s="4" t="n">
        <x:v>749636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1">
      <x:c s="3" t="inlineStr">
        <x:is>
          <x:t xml:space="preserve">    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2">
      <x:c s="3" t="inlineStr">
        <x:is>
          <x:t xml:space="preserve">    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2">
      <x:c s="3" t="inlineStr">
        <x:is>
          <x:t xml:space="preserve">    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2">
      <x:c s="3" t="inlineStr">
        <x:is>
          <x:t xml:space="preserve">    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0">
      <x:c s="3" t="inlineStr">
        <x:is>
          <x:t xml:space="preserve">Расходы</x:t>
        </x:is>
      </x:c>
      <x:c s="4" t="n">
        <x:v>2337688.42</x:v>
      </x:c>
      <x:c s="4" t="n">
        <x:v>591073.78</x:v>
      </x:c>
      <x:c s="4" t="n">
        <x:v>582204.88</x:v>
      </x:c>
      <x:c s="4" t="n">
        <x:v>582204.88</x:v>
      </x:c>
      <x:c s="4" t="n">
        <x:v>582204.88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1">
      <x:c s="3" t="inlineStr">
        <x:is>
          <x:t xml:space="preserve">    Переменные</x:t>
        </x:is>
      </x:c>
      <x:c s="4" t="n">
        <x:v>38868.9</x:v>
      </x:c>
      <x:c s="4" t="n">
        <x:v>8868.9</x:v>
      </x:c>
      <x:c s="4" t="n">
        <x:v>10000</x:v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2">
      <x:c s="3" t="inlineStr">
        <x:is>
          <x:t xml:space="preserve">        Расходные материалы и инстументы (МОП)</x:t>
        </x:is>
      </x:c>
      <x:c s="4" t="n">
        <x:v>19356.4</x:v>
      </x:c>
      <x:c s="4" t="n">
        <x:v>4356.4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2">
      <x:c s="3" t="inlineStr">
        <x:is>
          <x:t xml:space="preserve">        Расходные материалы и инстументы  (ПТ)</x:t>
        </x:is>
      </x:c>
      <x:c s="4" t="n">
        <x:v>19512.5</x:v>
      </x:c>
      <x:c s="4" t="n">
        <x:v>4512.5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Заработная плата  (МОП)</x:t>
        </x:is>
      </x:c>
      <x:c s="4" t="n">
        <x:v>512000</x:v>
      </x:c>
      <x:c s="4" t="n">
        <x:v>128000</x:v>
      </x:c>
      <x:c s="4" t="n">
        <x:v>128000</x:v>
      </x:c>
      <x:c s="4" t="n">
        <x:v>128000</x:v>
      </x:c>
      <x:c s="4" t="n">
        <x:v>128000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Заработная плата (ПТ)</x:t>
        </x:is>
      </x:c>
      <x:c s="4" t="n">
        <x:v>840000</x:v>
      </x:c>
      <x:c s="4" t="n">
        <x:v>210000</x:v>
      </x:c>
      <x:c s="4" t="n">
        <x:v>210000</x:v>
      </x:c>
      <x:c s="4" t="n">
        <x:v>210000</x:v>
      </x:c>
      <x:c s="4" t="n">
        <x:v>210000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Налоги с ФОТ (МОП)</x:t>
        </x:is>
      </x:c>
      <x:c s="4" t="n">
        <x:v>56000</x:v>
      </x:c>
      <x:c s="4" t="n">
        <x:v>14000</x:v>
      </x:c>
      <x:c s="4" t="n">
        <x:v>14000</x:v>
      </x:c>
      <x:c s="4" t="n">
        <x:v>14000</x:v>
      </x:c>
      <x:c s="4" t="n">
        <x:v>14000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Налоги с ФОТ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Униформа (МОП)</x:t>
        </x:is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1">
      <x:c s="3" t="inlineStr">
        <x:is>
          <x:t xml:space="preserve">    Ремонт оборудования (ПТ)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1">
      <x:c s="3" t="inlineStr">
        <x:is>
          <x:t xml:space="preserve">    Общехозяйственные</x:t>
        </x:is>
      </x:c>
      <x:c s="4" t="n">
        <x:v>352000</x:v>
      </x:c>
      <x:c s="4" t="n">
        <x:v>88000</x:v>
      </x:c>
      <x:c s="4" t="n">
        <x:v>88000</x:v>
      </x:c>
      <x:c s="4" t="n">
        <x:v>88000</x:v>
      </x:c>
      <x:c s="4" t="n">
        <x:v>88000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Аутсорс (направления)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Заработная плата МО АУП</x:t>
        </x:is>
      </x:c>
      <x:c s="4" t="n">
        <x:v>240000</x:v>
      </x:c>
      <x:c s="4" t="n">
        <x:v>60000</x:v>
      </x:c>
      <x:c s="4" t="n">
        <x:v>60000</x:v>
      </x:c>
      <x:c s="4" t="n">
        <x:v>60000</x:v>
      </x:c>
      <x:c s="4" t="n">
        <x:v>60000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Инструменты: ГСМ</x:t>
        </x:is>
      </x:c>
      <x:c s="4" t="n">
        <x:v>4000</x:v>
      </x:c>
      <x:c s="4" t="n">
        <x:v>1000</x:v>
      </x:c>
      <x:c s="4" t="n">
        <x:v>1000</x:v>
      </x:c>
      <x:c s="4" t="n">
        <x:v>1000</x:v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4" outlineLevel="2">
      <x:c s="3" t="inlineStr">
        <x:is>
          <x:t xml:space="preserve">        Налоги с ФОТ (ИП)</x:t>
        </x:is>
      </x:c>
      <x:c s="4" t="n">
        <x:v>104000</x:v>
      </x:c>
      <x:c s="4" t="n">
        <x:v>26000</x:v>
      </x:c>
      <x:c s="4" t="n">
        <x:v>26000</x:v>
      </x:c>
      <x:c s="4" t="n">
        <x:v>26000</x:v>
      </x:c>
      <x:c s="4" t="n">
        <x:v>26000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5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2">
      <x:c s="3" t="inlineStr">
        <x:is>
          <x:t xml:space="preserve">        Комиссия за перевод ЗП</x:t>
        </x:is>
      </x:c>
      <x:c s="4" t="n">
        <x:v>4000</x:v>
      </x:c>
      <x:c s="4" t="n">
        <x:v>1000</x:v>
      </x:c>
      <x:c s="4" t="n">
        <x:v>1000</x:v>
      </x:c>
      <x:c s="4" t="n">
        <x:v>1000</x:v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Расход БЭК-ОФИС</x:t>
        </x:is>
      </x:c>
      <x:c s="4" t="n">
        <x:v>334040.8</x:v>
      </x:c>
      <x:c s="4" t="n">
        <x:v>83510.2</x:v>
      </x:c>
      <x:c s="4" t="n">
        <x:v>83510.2</x:v>
      </x:c>
      <x:c s="4" t="n">
        <x:v>83510.2</x:v>
      </x:c>
      <x:c s="4" t="n">
        <x:v>83510.2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1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2" outlineLevel="1">
      <x:c s="3" t="inlineStr">
        <x:is>
          <x:t xml:space="preserve">    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2">
      <x:c s="3" t="inlineStr">
        <x:is>
          <x:t xml:space="preserve">    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2">
      <x:c s="3" t="inlineStr">
        <x:is>
          <x:t xml:space="preserve">    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Налог на прибыль</x:t>
        </x:is>
      </x:c>
      <x:c s="4" t="n">
        <x:v>186778.72</x:v>
      </x:c>
      <x:c s="4" t="n">
        <x:v>46694.68</x:v>
      </x:c>
      <x:c s="4" t="n">
        <x:v>46694.68</x:v>
      </x:c>
      <x:c s="4" t="n">
        <x:v>46694.68</x:v>
      </x:c>
      <x:c s="4" t="n">
        <x:v>46694.68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2">
      <x:c s="3" t="inlineStr">
        <x:is>
          <x:t xml:space="preserve">        Налоги УСН</x:t>
        </x:is>
      </x:c>
      <x:c s="4" t="n">
        <x:v>44000</x:v>
      </x:c>
      <x:c s="4" t="n">
        <x:v>11000</x:v>
      </x:c>
      <x:c s="4" t="n">
        <x:v>11000</x:v>
      </x:c>
      <x:c s="4" t="n">
        <x:v>11000</x:v>
      </x:c>
      <x:c s="4" t="n">
        <x:v>11000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2">
      <x:c s="3" t="inlineStr">
        <x:is>
          <x:t xml:space="preserve">        Налоги НДС 5%</x:t>
        </x:is>
      </x:c>
      <x:c s="4" t="n">
        <x:v>142778.72</x:v>
      </x:c>
      <x:c s="4" t="n">
        <x:v>35694.68</x:v>
      </x:c>
      <x:c s="4" t="n">
        <x:v>35694.68</x:v>
      </x:c>
      <x:c s="4" t="n">
        <x:v>35694.68</x:v>
      </x:c>
      <x:c s="4" t="n">
        <x:v>35694.68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1">
      <x:c s="3" t="inlineStr">
        <x:is>
          <x:t xml:space="preserve">    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0" outlineLevel="2">
      <x:c s="3" t="inlineStr">
        <x:is>
          <x:t xml:space="preserve">    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1" outlineLevel="0">
      <x:c s="1" t="inlineStr">
        <x:is>
          <x:t xml:space="preserve">Чистая прибыль/убыток</x:t>
        </x:is>
      </x:c>
      <x:c s="2" t="n">
        <x:v>660855.5800000001</x:v>
      </x:c>
      <x:c s="2" t="n">
        <x:v>158562.21999999997</x:v>
      </x:c>
      <x:c s="2" t="n">
        <x:v>167431.12</x:v>
      </x:c>
      <x:c s="2" t="n">
        <x:v>167431.12</x:v>
      </x:c>
      <x:c s="2" t="n">
        <x:v>167431.12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2" outlineLevel="0">
      <x:c s="1" t="inlineStr">
        <x:is>
          <x:t xml:space="preserve">Рентабельность, %</x:t>
        </x:is>
      </x:c>
      <x:c s="2" t="inlineStr">
        <x:is>
          <x:t xml:space="preserve">22.04%</x:t>
        </x:is>
      </x:c>
      <x:c s="2" t="inlineStr">
        <x:is>
          <x:t xml:space="preserve">21.15%</x:t>
        </x:is>
      </x:c>
      <x:c s="2" t="inlineStr">
        <x:is>
          <x:t xml:space="preserve">22.33%</x:t>
        </x:is>
      </x:c>
      <x:c s="2" t="inlineStr">
        <x:is>
          <x:t xml:space="preserve">22.33%</x:t>
        </x:is>
      </x:c>
      <x:c s="2" t="inlineStr">
        <x:is>
          <x:t xml:space="preserve">22.33%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