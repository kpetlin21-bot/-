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dd15aea8a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cd195bd0b5a4387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aa435ad33462b" /><Relationship Type="http://schemas.openxmlformats.org/officeDocument/2006/relationships/worksheet" Target="/xl/worksheets/sheet1.xml" Id="R7cd195bd0b5a4387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"Твоя Привелегия"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Выручка</x:t>
        </x:is>
      </x:c>
      <x:c s="4" t="n">
        <x:v>3590716.24</x:v>
      </x:c>
      <x:c s="4" t="n">
        <x:v>897679.06</x:v>
      </x:c>
      <x:c s="4" t="n">
        <x:v>897679.06</x:v>
      </x:c>
      <x:c s="4" t="n">
        <x:v>897679.06</x:v>
      </x:c>
      <x:c s="4" t="n">
        <x:v>897679.06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3590716.24</x:v>
      </x:c>
      <x:c s="4" t="n">
        <x:v>897679.06</x:v>
      </x:c>
      <x:c s="4" t="n">
        <x:v>897679.06</x:v>
      </x:c>
      <x:c s="4" t="n">
        <x:v>897679.06</x:v>
      </x:c>
      <x:c s="4" t="n">
        <x:v>897679.06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3590716.24</x:v>
      </x:c>
      <x:c s="4" t="n">
        <x:v>897679.06</x:v>
      </x:c>
      <x:c s="4" t="n">
        <x:v>897679.06</x:v>
      </x:c>
      <x:c s="4" t="n">
        <x:v>897679.06</x:v>
      </x:c>
      <x:c s="4" t="n">
        <x:v>897679.06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0">
      <x:c s="3" t="inlineStr">
        <x:is>
          <x:t xml:space="preserve">Прямые расходы</x:t>
        </x:is>
      </x:c>
      <x:c s="4" t="n">
        <x:v>2622334</x:v>
      </x:c>
      <x:c s="4" t="n">
        <x:v>666634</x:v>
      </x:c>
      <x:c s="4" t="n">
        <x:v>651900</x:v>
      </x:c>
      <x:c s="4" t="n">
        <x:v>651900</x:v>
      </x:c>
      <x:c s="4" t="n">
        <x:v>651900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1">
      <x:c s="3" t="inlineStr">
        <x:is>
          <x:t xml:space="preserve">    Транспортные расходы</x:t>
        </x:is>
      </x:c>
      <x:c s="4" t="n">
        <x:v>1080</x:v>
      </x:c>
      <x:c s="4" t="n">
        <x:v>1080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1">
      <x:c s="3" t="inlineStr">
        <x:is>
          <x:t xml:space="preserve">    Переменные</x:t>
        </x:is>
      </x:c>
      <x:c s="4" t="n">
        <x:v>269530.5</x:v>
      </x:c>
      <x:c s="4" t="n">
        <x:v>71530.5</x:v>
      </x:c>
      <x:c s="4" t="n">
        <x:v>66000</x:v>
      </x:c>
      <x:c s="4" t="n">
        <x:v>66000</x:v>
      </x:c>
      <x:c s="4" t="n">
        <x:v>66000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2">
      <x:c s="3" t="inlineStr">
        <x:is>
          <x:t xml:space="preserve">        Услуги садовника (ПТ)</x:t>
        </x:is>
      </x:c>
      <x:c s="4" t="n">
        <x:v>184000</x:v>
      </x:c>
      <x:c s="4" t="n">
        <x:v>46000</x:v>
      </x:c>
      <x:c s="4" t="n">
        <x:v>46000</x:v>
      </x:c>
      <x:c s="4" t="n">
        <x:v>46000</x:v>
      </x:c>
      <x:c s="4" t="n">
        <x:v>46000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2">
      <x:c s="3" t="inlineStr">
        <x:is>
          <x:t xml:space="preserve">        Сыпучие материалы (ПТ)</x:t>
        </x:is>
      </x:c>
      <x:c s="4" t="n">
        <x:v>18000</x:v>
      </x:c>
      <x:c s="4" t="n">
        <x:v>18000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2">
      <x:c s="3" t="inlineStr">
        <x:is>
          <x:t xml:space="preserve">        Расходные материалы и инстументы (МОП)</x:t>
        </x:is>
      </x:c>
      <x:c s="4" t="n">
        <x:v>32095</x:v>
      </x:c>
      <x:c s="4" t="n">
        <x:v>2095</x:v>
      </x:c>
      <x:c s="4" t="n">
        <x:v>10000</x:v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2">
      <x:c s="3" t="inlineStr">
        <x:is>
          <x:t xml:space="preserve">        Расходные материалы и инстументы  (ПТ)</x:t>
        </x:is>
      </x:c>
      <x:c s="4" t="n">
        <x:v>35435.5</x:v>
      </x:c>
      <x:c s="4" t="n">
        <x:v>5435.5</x:v>
      </x:c>
      <x:c s="4" t="n">
        <x:v>10000</x:v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1">
      <x:c s="3" t="inlineStr">
        <x:is>
          <x:t xml:space="preserve">    Заработная плата  (МОП)</x:t>
        </x:is>
      </x:c>
      <x:c s="4" t="n">
        <x:v>1040000</x:v>
      </x:c>
      <x:c s="4" t="n">
        <x:v>260000</x:v>
      </x:c>
      <x:c s="4" t="n">
        <x:v>260000</x:v>
      </x:c>
      <x:c s="4" t="n">
        <x:v>260000</x:v>
      </x:c>
      <x:c s="4" t="n">
        <x:v>260000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1">
      <x:c s="3" t="inlineStr">
        <x:is>
          <x:t xml:space="preserve">    Заработная плата (ПТ)</x:t>
        </x:is>
      </x:c>
      <x:c s="4" t="n">
        <x:v>777600</x:v>
      </x:c>
      <x:c s="4" t="n">
        <x:v>194400</x:v>
      </x:c>
      <x:c s="4" t="n">
        <x:v>194400</x:v>
      </x:c>
      <x:c s="4" t="n">
        <x:v>194400</x:v>
      </x:c>
      <x:c s="4" t="n">
        <x:v>194400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1">
      <x:c s="3" t="inlineStr">
        <x:is>
          <x:t xml:space="preserve">    Налоги с ФОТ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1">
      <x:c s="3" t="inlineStr">
        <x:is>
          <x:t xml:space="preserve">    Налоги с ФОТ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1">
      <x:c s="3" t="inlineStr">
        <x:is>
          <x:t xml:space="preserve">    Премми  (МОП)</x:t>
        </x:is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Ремонт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Общехозяйственные</x:t>
        </x:is>
      </x:c>
      <x:c s="4" t="n">
        <x:v>524123.5</x:v>
      </x:c>
      <x:c s="4" t="n">
        <x:v>129623.5</x:v>
      </x:c>
      <x:c s="4" t="n">
        <x:v>131500</x:v>
      </x:c>
      <x:c s="4" t="n">
        <x:v>131500</x:v>
      </x:c>
      <x:c s="4" t="n">
        <x:v>131500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2">
      <x:c s="3" t="inlineStr">
        <x:is>
          <x:t xml:space="preserve">        Аутсорс (направления)</x:t>
        </x:is>
      </x:c>
      <x:c s="4" t="n">
        <x:v>10000</x:v>
      </x:c>
      <x:c s="4" t="n">
        <x:v>2500</x:v>
      </x:c>
      <x:c s="4" t="n">
        <x:v>2500</x:v>
      </x:c>
      <x:c s="4" t="n">
        <x:v>2500</x:v>
      </x:c>
      <x:c s="4" t="n">
        <x:v>2500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2">
      <x:c s="3" t="inlineStr">
        <x:is>
          <x:t xml:space="preserve">        Заработная плата МО АУП</x:t>
        </x:is>
      </x:c>
      <x:c s="4" t="n">
        <x:v>260000</x:v>
      </x:c>
      <x:c s="4" t="n">
        <x:v>65000</x:v>
      </x:c>
      <x:c s="4" t="n">
        <x:v>65000</x:v>
      </x:c>
      <x:c s="4" t="n">
        <x:v>65000</x:v>
      </x:c>
      <x:c s="4" t="n">
        <x:v>65000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2">
      <x:c s="3" t="inlineStr">
        <x:is>
          <x:t xml:space="preserve">        Инструменты: ГСМ</x:t>
        </x:is>
      </x:c>
      <x:c s="4" t="n">
        <x:v>26123.5</x:v>
      </x:c>
      <x:c s="4" t="n">
        <x:v>5123.5</x:v>
      </x:c>
      <x:c s="4" t="n">
        <x:v>7000</x:v>
      </x:c>
      <x:c s="4" t="n">
        <x:v>7000</x:v>
      </x:c>
      <x:c s="4" t="n">
        <x:v>7000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2">
      <x:c s="3" t="inlineStr">
        <x:is>
          <x:t xml:space="preserve">        Налоги с ФОТ (ИП)</x:t>
        </x:is>
      </x:c>
      <x:c s="4" t="n">
        <x:v>224000</x:v>
      </x:c>
      <x:c s="4" t="n">
        <x:v>56000</x:v>
      </x:c>
      <x:c s="4" t="n">
        <x:v>56000</x:v>
      </x:c>
      <x:c s="4" t="n">
        <x:v>56000</x:v>
      </x:c>
      <x:c s="4" t="n">
        <x:v>56000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Комиссия за перевод ЗП</x:t>
        </x:is>
      </x:c>
      <x:c s="4" t="n">
        <x:v>4000</x:v>
      </x:c>
      <x:c s="4" t="n">
        <x:v>1000</x:v>
      </x:c>
      <x:c s="4" t="n">
        <x:v>1000</x:v>
      </x:c>
      <x:c s="4" t="n">
        <x:v>1000</x:v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0">
      <x:c s="1" t="inlineStr">
        <x:is>
          <x:t xml:space="preserve">Валовая прибыль</x:t>
        </x:is>
      </x:c>
      <x:c s="2" t="n">
        <x:v>968382.24</x:v>
      </x:c>
      <x:c s="2" t="n">
        <x:v>231045.06000000006</x:v>
      </x:c>
      <x:c s="2" t="n">
        <x:v>245779.06000000006</x:v>
      </x:c>
      <x:c s="2" t="n">
        <x:v>245779.06000000006</x:v>
      </x:c>
      <x:c s="2" t="n">
        <x:v>245779.06000000006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4" outlineLevel="0">
      <x:c s="1" t="inlineStr">
        <x:is>
          <x:t xml:space="preserve">Валовая рентабельность</x:t>
        </x:is>
      </x:c>
      <x:c s="2" t="inlineStr">
        <x:is>
          <x:t xml:space="preserve">26.97%</x:t>
        </x:is>
      </x:c>
      <x:c s="2" t="inlineStr">
        <x:is>
          <x:t xml:space="preserve">25.74%</x:t>
        </x:is>
      </x:c>
      <x:c s="2" t="inlineStr">
        <x:is>
          <x:t xml:space="preserve">27.38%</x:t>
        </x:is>
      </x:c>
      <x:c s="2" t="inlineStr">
        <x:is>
          <x:t xml:space="preserve">27.38%</x:t>
        </x:is>
      </x:c>
      <x:c s="2" t="inlineStr">
        <x:is>
          <x:t xml:space="preserve">27.38%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5" outlineLevel="0">
      <x:c s="3" t="inlineStr">
        <x:is>
          <x:t xml:space="preserve">Косвенные расходы</x:t>
        </x:is>
      </x:c>
      <x:c s="4" t="n">
        <x:v>269881.08</x:v>
      </x:c>
      <x:c s="4" t="n">
        <x:v>67470.27</x:v>
      </x:c>
      <x:c s="4" t="n">
        <x:v>67470.27</x:v>
      </x:c>
      <x:c s="4" t="n">
        <x:v>67470.27</x:v>
      </x:c>
      <x:c s="4" t="n">
        <x:v>67470.27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1">
      <x:c s="3" t="inlineStr">
        <x:is>
          <x:t xml:space="preserve">    Расход БЭК-ОФИС</x:t>
        </x:is>
      </x:c>
      <x:c s="4" t="n">
        <x:v>269881.08</x:v>
      </x:c>
      <x:c s="4" t="n">
        <x:v>67470.27</x:v>
      </x:c>
      <x:c s="4" t="n">
        <x:v>67470.27</x:v>
      </x:c>
      <x:c s="4" t="n">
        <x:v>67470.27</x:v>
      </x:c>
      <x:c s="4" t="n">
        <x:v>67470.27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0">
      <x:c s="1" t="inlineStr">
        <x:is>
          <x:t xml:space="preserve">Операционная прибыль</x:t>
        </x:is>
      </x:c>
      <x:c s="2" t="n">
        <x:v>698501.16</x:v>
      </x:c>
      <x:c s="2" t="n">
        <x:v>163574.79000000004</x:v>
      </x:c>
      <x:c s="2" t="n">
        <x:v>178308.79000000004</x:v>
      </x:c>
      <x:c s="2" t="n">
        <x:v>178308.79000000004</x:v>
      </x:c>
      <x:c s="2" t="n">
        <x:v>178308.79000000004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1" outlineLevel="0">
      <x:c s="1" t="inlineStr">
        <x:is>
          <x:t xml:space="preserve">Операционная рентабельность</x:t>
        </x:is>
      </x:c>
      <x:c s="2" t="inlineStr">
        <x:is>
          <x:t xml:space="preserve">19.45%</x:t>
        </x:is>
      </x:c>
      <x:c s="2" t="inlineStr">
        <x:is>
          <x:t xml:space="preserve">18.22%</x:t>
        </x:is>
      </x:c>
      <x:c s="2" t="inlineStr">
        <x:is>
          <x:t xml:space="preserve">19.86%</x:t>
        </x:is>
      </x:c>
      <x:c s="2" t="inlineStr">
        <x:is>
          <x:t xml:space="preserve">19.86%</x:t>
        </x:is>
      </x:c>
      <x:c s="2" t="inlineStr">
        <x:is>
          <x:t xml:space="preserve">19.86%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2" outlineLevel="0">
      <x:c s="3" t="inlineStr">
        <x:is>
          <x:t xml:space="preserve">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1">
      <x:c s="3" t="inlineStr">
        <x:is>
          <x:t xml:space="preserve">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1">
      <x:c s="3" t="inlineStr">
        <x:is>
          <x:t xml:space="preserve">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0">
      <x:c s="3" t="inlineStr">
        <x:is>
          <x:t xml:space="preserve">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1">
      <x:c s="3" t="inlineStr">
        <x:is>
          <x:t xml:space="preserve">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0">
      <x:c s="1" t="inlineStr">
        <x:is>
          <x:t xml:space="preserve">EBITDA</x:t>
        </x:is>
      </x:c>
      <x:c s="2" t="n">
        <x:v>698501.16</x:v>
      </x:c>
      <x:c s="2" t="n">
        <x:v>163574.79000000004</x:v>
      </x:c>
      <x:c s="2" t="n">
        <x:v>178308.79000000004</x:v>
      </x:c>
      <x:c s="2" t="n">
        <x:v>178308.79000000004</x:v>
      </x:c>
      <x:c s="2" t="n">
        <x:v>178308.79000000004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0" outlineLevel="0">
      <x:c s="1" t="inlineStr">
        <x:is>
          <x:t xml:space="preserve">Рентабельность по EBITDA</x:t>
        </x:is>
      </x:c>
      <x:c s="2" t="inlineStr">
        <x:is>
          <x:t xml:space="preserve">19.45%</x:t>
        </x:is>
      </x:c>
      <x:c s="2" t="inlineStr">
        <x:is>
          <x:t xml:space="preserve">18.22%</x:t>
        </x:is>
      </x:c>
      <x:c s="2" t="inlineStr">
        <x:is>
          <x:t xml:space="preserve">19.86%</x:t>
        </x:is>
      </x:c>
      <x:c s="2" t="inlineStr">
        <x:is>
          <x:t xml:space="preserve">19.86%</x:t>
        </x:is>
      </x:c>
      <x:c s="2" t="inlineStr">
        <x:is>
          <x:t xml:space="preserve">19.86%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1" outlineLevel="0">
      <x:c s="3" t="inlineStr">
        <x:is>
          <x:t xml:space="preserve">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2" outlineLevel="1">
      <x:c s="3" t="inlineStr">
        <x:is>
          <x:t xml:space="preserve">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3" outlineLevel="1">
      <x:c s="3" t="inlineStr">
        <x:is>
          <x:t xml:space="preserve">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4" outlineLevel="0">
      <x:c s="3" t="inlineStr">
        <x:is>
          <x:t xml:space="preserve">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5" outlineLevel="0">
      <x:c s="3" t="inlineStr">
        <x:is>
          <x:t xml:space="preserve">Налог на прибыль</x:t>
        </x:is>
      </x:c>
      <x:c s="4" t="n">
        <x:v>271789.83999999997</x:v>
      </x:c>
      <x:c s="4" t="n">
        <x:v>67947.45999999999</x:v>
      </x:c>
      <x:c s="4" t="n">
        <x:v>67947.45999999999</x:v>
      </x:c>
      <x:c s="4" t="n">
        <x:v>67947.45999999999</x:v>
      </x:c>
      <x:c s="4" t="n">
        <x:v>67947.45999999999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6" outlineLevel="1">
      <x:c s="3" t="inlineStr">
        <x:is>
          <x:t xml:space="preserve">    Налоги УСН</x:t>
        </x:is>
      </x:c>
      <x:c s="4" t="n">
        <x:v>54000</x:v>
      </x:c>
      <x:c s="4" t="n">
        <x:v>13500</x:v>
      </x:c>
      <x:c s="4" t="n">
        <x:v>13500</x:v>
      </x:c>
      <x:c s="4" t="n">
        <x:v>13500</x:v>
      </x:c>
      <x:c s="4" t="n">
        <x:v>13500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7" outlineLevel="1">
      <x:c s="3" t="inlineStr">
        <x:is>
          <x:t xml:space="preserve">    Налоги НДС 5%</x:t>
        </x:is>
      </x:c>
      <x:c s="4" t="n">
        <x:v>217789.84</x:v>
      </x:c>
      <x:c s="4" t="n">
        <x:v>54447.46</x:v>
      </x:c>
      <x:c s="4" t="n">
        <x:v>54447.46</x:v>
      </x:c>
      <x:c s="4" t="n">
        <x:v>54447.46</x:v>
      </x:c>
      <x:c s="4" t="n">
        <x:v>54447.46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8" outlineLevel="0">
      <x:c s="1" t="inlineStr">
        <x:is>
          <x:t xml:space="preserve">Чистая прибыль (убыток)</x:t>
        </x:is>
      </x:c>
      <x:c s="2" t="n">
        <x:v>426711.32</x:v>
      </x:c>
      <x:c s="2" t="n">
        <x:v>95627.33000000005</x:v>
      </x:c>
      <x:c s="2" t="n">
        <x:v>110361.33000000005</x:v>
      </x:c>
      <x:c s="2" t="n">
        <x:v>110361.33000000005</x:v>
      </x:c>
      <x:c s="2" t="n">
        <x:v>110361.33000000005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9" outlineLevel="0">
      <x:c s="1" t="inlineStr">
        <x:is>
          <x:t xml:space="preserve">Рентабельность чистой прибыли</x:t>
        </x:is>
      </x:c>
      <x:c s="2" t="inlineStr">
        <x:is>
          <x:t xml:space="preserve">11.88%</x:t>
        </x:is>
      </x:c>
      <x:c s="2" t="inlineStr">
        <x:is>
          <x:t xml:space="preserve">10.65%</x:t>
        </x:is>
      </x:c>
      <x:c s="2" t="inlineStr">
        <x:is>
          <x:t xml:space="preserve">12.29%</x:t>
        </x:is>
      </x:c>
      <x:c s="2" t="inlineStr">
        <x:is>
          <x:t xml:space="preserve">12.29%</x:t>
        </x:is>
      </x:c>
      <x:c s="2" t="inlineStr">
        <x:is>
          <x:t xml:space="preserve">12.29%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