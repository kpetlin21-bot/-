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b2f263b14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a4cfcfaba604340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4620289a9474d" /><Relationship Type="http://schemas.openxmlformats.org/officeDocument/2006/relationships/worksheet" Target="/xl/worksheets/sheet1.xml" Id="R3a4cfcfaba604340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8" t="inlineStr">
        <x:f>HYPERLINK("https://app.planfact.io/?from=Pf_BDR", "Перейти в сервис")</x:f>
        <x:is>
          <x:t xml:space="default">Перейти в сервис</x:t>
        </x:is>
      </x:c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Новое Колпино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  <x:c s="5" t="inlineStr">
        <x:is>
          <x:t xml:space="preserve">план</x:t>
        </x:is>
      </x:c>
    </x:row>
    <x:row r="4" outlineLevel="0">
      <x:c s="3" t="inlineStr">
        <x:is>
          <x:t xml:space="preserve">Выручка</x:t>
        </x:is>
      </x:c>
      <x:c s="4" t="n">
        <x:v>10175223.66</x:v>
      </x:c>
      <x:c s="4" t="n">
        <x:v>2759091.96</x:v>
      </x:c>
      <x:c s="4" t="n">
        <x:v>2472043.9</x:v>
      </x:c>
      <x:c s="4" t="n">
        <x:v>2472043.9</x:v>
      </x:c>
      <x:c s="4" t="n">
        <x:v>2472043.9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10175223.66</x:v>
      </x:c>
      <x:c s="4" t="n">
        <x:v>2759091.96</x:v>
      </x:c>
      <x:c s="4" t="n">
        <x:v>2472043.9</x:v>
      </x:c>
      <x:c s="4" t="n">
        <x:v>2472043.9</x:v>
      </x:c>
      <x:c s="4" t="n">
        <x:v>2472043.9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10175223.66</x:v>
      </x:c>
      <x:c s="4" t="n">
        <x:v>2759091.96</x:v>
      </x:c>
      <x:c s="4" t="n">
        <x:v>2472043.9</x:v>
      </x:c>
      <x:c s="4" t="n">
        <x:v>2472043.9</x:v>
      </x:c>
      <x:c s="4" t="n">
        <x:v>2472043.9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0">
      <x:c s="3" t="inlineStr">
        <x:is>
          <x:t xml:space="preserve">Прямые расходы</x:t>
        </x:is>
      </x:c>
      <x:c s="4" t="n">
        <x:v>8684016.2</x:v>
      </x:c>
      <x:c s="4" t="n">
        <x:v>2186851.2</x:v>
      </x:c>
      <x:c s="4" t="n">
        <x:v>2219055</x:v>
      </x:c>
      <x:c s="4" t="n">
        <x:v>2139055</x:v>
      </x:c>
      <x:c s="4" t="n">
        <x:v>2139055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1">
      <x:c s="3" t="inlineStr">
        <x:is>
          <x:t xml:space="preserve">    Переменные</x:t>
        </x:is>
      </x:c>
      <x:c s="4" t="n">
        <x:v>601711.53</x:v>
      </x:c>
      <x:c s="4" t="n">
        <x:v>137711.53</x:v>
      </x:c>
      <x:c s="4" t="n">
        <x:v>208000</x:v>
      </x:c>
      <x:c s="4" t="n">
        <x:v>128000</x:v>
      </x:c>
      <x:c s="4" t="n">
        <x:v>128000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2">
      <x:c s="3" t="inlineStr">
        <x:is>
          <x:t xml:space="preserve">        Услуги садовника (ПТ)</x:t>
        </x:is>
      </x:c>
      <x:c s="4" t="n">
        <x:v>352000</x:v>
      </x:c>
      <x:c s="4" t="n">
        <x:v>88000</x:v>
      </x:c>
      <x:c s="4" t="n">
        <x:v>88000</x:v>
      </x:c>
      <x:c s="4" t="n">
        <x:v>88000</x:v>
      </x:c>
      <x:c s="4" t="n">
        <x:v>88000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2">
      <x:c s="3" t="inlineStr">
        <x:is>
          <x:t xml:space="preserve">        Расходные материалы и инстументы (МОП)</x:t>
        </x:is>
      </x:c>
      <x:c s="4" t="n">
        <x:v>133810.13</x:v>
      </x:c>
      <x:c s="4" t="n">
        <x:v>43810.13</x:v>
      </x:c>
      <x:c s="4" t="n">
        <x:v>30000</x:v>
      </x:c>
      <x:c s="4" t="n">
        <x:v>30000</x:v>
      </x:c>
      <x:c s="4" t="n">
        <x:v>30000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2">
      <x:c s="3" t="inlineStr">
        <x:is>
          <x:t xml:space="preserve">        Расходные материалы и инстументы  (ПТ)</x:t>
        </x:is>
      </x:c>
      <x:c s="4" t="n">
        <x:v>85901.4</x:v>
      </x:c>
      <x:c s="4" t="n">
        <x:v>5901.4</x:v>
      </x:c>
      <x:c s="4" t="n">
        <x:v>60000</x:v>
      </x:c>
      <x:c s="4" t="n">
        <x:v>10000</x:v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Арена оборудования (МОП)</x:t>
        </x:is>
      </x:c>
      <x:c s="4" t="n">
        <x:v>30000</x:v>
      </x:c>
      <x:c s="4" t="inlineStr">
        <x:is>
          <x:t xml:space="preserve">-</x:t>
        </x:is>
      </x:c>
      <x:c s="4" t="n">
        <x:v>30000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1">
      <x:c s="3" t="inlineStr">
        <x:is>
          <x:t xml:space="preserve">    Заработная плата  (МОП)</x:t>
        </x:is>
      </x:c>
      <x:c s="4" t="n">
        <x:v>2740000</x:v>
      </x:c>
      <x:c s="4" t="n">
        <x:v>685000</x:v>
      </x:c>
      <x:c s="4" t="n">
        <x:v>685000</x:v>
      </x:c>
      <x:c s="4" t="n">
        <x:v>685000</x:v>
      </x:c>
      <x:c s="4" t="n">
        <x:v>685000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1">
      <x:c s="3" t="inlineStr">
        <x:is>
          <x:t xml:space="preserve">    Заработная плата (ПТ)</x:t>
        </x:is>
      </x:c>
      <x:c s="4" t="n">
        <x:v>3718084.67</x:v>
      </x:c>
      <x:c s="4" t="n">
        <x:v>958084.67</x:v>
      </x:c>
      <x:c s="4" t="n">
        <x:v>920000</x:v>
      </x:c>
      <x:c s="4" t="n">
        <x:v>920000</x:v>
      </x:c>
      <x:c s="4" t="n">
        <x:v>920000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1">
      <x:c s="3" t="inlineStr">
        <x:is>
          <x:t xml:space="preserve">    Налоги с ФОТ (МОП)</x:t>
        </x:is>
      </x:c>
      <x:c s="4" t="n">
        <x:v>112000</x:v>
      </x:c>
      <x:c s="4" t="n">
        <x:v>28000</x:v>
      </x:c>
      <x:c s="4" t="n">
        <x:v>28000</x:v>
      </x:c>
      <x:c s="4" t="n">
        <x:v>28000</x:v>
      </x:c>
      <x:c s="4" t="n">
        <x:v>28000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1">
      <x:c s="3" t="inlineStr">
        <x:is>
          <x:t xml:space="preserve">    Налоги с ФОТ (ПТ)</x:t>
        </x:is>
      </x:c>
      <x:c s="4" t="n">
        <x:v>574820</x:v>
      </x:c>
      <x:c s="4" t="n">
        <x:v>143705</x:v>
      </x:c>
      <x:c s="4" t="n">
        <x:v>143705</x:v>
      </x:c>
      <x:c s="4" t="n">
        <x:v>143705</x:v>
      </x:c>
      <x:c s="4" t="n">
        <x:v>143705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Ремонт оборудования (ПТ)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Общехозяйственные</x:t>
        </x:is>
      </x:c>
      <x:c s="4" t="n">
        <x:v>925400</x:v>
      </x:c>
      <x:c s="4" t="n">
        <x:v>231350</x:v>
      </x:c>
      <x:c s="4" t="n">
        <x:v>231350</x:v>
      </x:c>
      <x:c s="4" t="n">
        <x:v>231350</x:v>
      </x:c>
      <x:c s="4" t="n">
        <x:v>231350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2">
      <x:c s="3" t="inlineStr">
        <x:is>
          <x:t xml:space="preserve">        Аутсорс (направления)</x:t>
        </x:is>
      </x:c>
      <x:c s="4" t="n">
        <x:v>20000</x:v>
      </x:c>
      <x:c s="4" t="n">
        <x:v>5000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2">
      <x:c s="3" t="inlineStr">
        <x:is>
          <x:t xml:space="preserve">        Заработная плата МО АУП</x:t>
        </x:is>
      </x:c>
      <x:c s="4" t="n">
        <x:v>400000</x:v>
      </x:c>
      <x:c s="4" t="n">
        <x:v>100000</x:v>
      </x:c>
      <x:c s="4" t="n">
        <x:v>100000</x:v>
      </x:c>
      <x:c s="4" t="n">
        <x:v>100000</x:v>
      </x:c>
      <x:c s="4" t="n">
        <x:v>100000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2">
      <x:c s="3" t="inlineStr">
        <x:is>
          <x:t xml:space="preserve">        Инструменты: ГСМ</x:t>
        </x:is>
      </x:c>
      <x:c s="4" t="n">
        <x:v>20000</x:v>
      </x:c>
      <x:c s="4" t="n">
        <x:v>5000</x:v>
      </x:c>
      <x:c s="4" t="n">
        <x:v>5000</x:v>
      </x:c>
      <x:c s="4" t="n">
        <x:v>5000</x:v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2">
      <x:c s="3" t="inlineStr">
        <x:is>
          <x:t xml:space="preserve">        Налоги с ФОТ (ИП)</x:t>
        </x:is>
      </x:c>
      <x:c s="4" t="n">
        <x:v>477400</x:v>
      </x:c>
      <x:c s="4" t="n">
        <x:v>119350</x:v>
      </x:c>
      <x:c s="4" t="n">
        <x:v>119350</x:v>
      </x:c>
      <x:c s="4" t="n">
        <x:v>119350</x:v>
      </x:c>
      <x:c s="4" t="n">
        <x:v>119350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Комиссия за перевод ЗП</x:t>
        </x:is>
      </x:c>
      <x:c s="4" t="n">
        <x:v>8000</x:v>
      </x:c>
      <x:c s="4" t="n">
        <x:v>2000</x:v>
      </x:c>
      <x:c s="4" t="n">
        <x:v>2000</x:v>
      </x:c>
      <x:c s="4" t="n">
        <x:v>2000</x:v>
      </x:c>
      <x:c s="4" t="n">
        <x:v>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0">
      <x:c s="1" t="inlineStr">
        <x:is>
          <x:t xml:space="preserve">Валовая прибыль</x:t>
        </x:is>
      </x:c>
      <x:c s="2" t="n">
        <x:v>1491207.46</x:v>
      </x:c>
      <x:c s="2" t="n">
        <x:v>572240.7599999998</x:v>
      </x:c>
      <x:c s="2" t="n">
        <x:v>252988.8999999999</x:v>
      </x:c>
      <x:c s="2" t="n">
        <x:v>332988.8999999999</x:v>
      </x:c>
      <x:c s="2" t="n">
        <x:v>332988.8999999999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4" outlineLevel="0">
      <x:c s="1" t="inlineStr">
        <x:is>
          <x:t xml:space="preserve">Валовая рентабельность</x:t>
        </x:is>
      </x:c>
      <x:c s="2" t="inlineStr">
        <x:is>
          <x:t xml:space="preserve">14.66%</x:t>
        </x:is>
      </x:c>
      <x:c s="2" t="inlineStr">
        <x:is>
          <x:t xml:space="preserve">20.74%</x:t>
        </x:is>
      </x:c>
      <x:c s="2" t="inlineStr">
        <x:is>
          <x:t xml:space="preserve">10.23%</x:t>
        </x:is>
      </x:c>
      <x:c s="2" t="inlineStr">
        <x:is>
          <x:t xml:space="preserve">13.47%</x:t>
        </x:is>
      </x:c>
      <x:c s="2" t="inlineStr">
        <x:is>
          <x:t xml:space="preserve">13.47%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5" outlineLevel="0">
      <x:c s="3" t="inlineStr">
        <x:is>
          <x:t xml:space="preserve">Косвенные расходы</x:t>
        </x:is>
      </x:c>
      <x:c s="4" t="n">
        <x:v>1194777.16</x:v>
      </x:c>
      <x:c s="4" t="n">
        <x:v>298694.29</x:v>
      </x:c>
      <x:c s="4" t="n">
        <x:v>298694.29</x:v>
      </x:c>
      <x:c s="4" t="n">
        <x:v>298694.29</x:v>
      </x:c>
      <x:c s="4" t="n">
        <x:v>298694.29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1">
      <x:c s="3" t="inlineStr">
        <x:is>
          <x:t xml:space="preserve">    Расход БЭК-ОФИС</x:t>
        </x:is>
      </x:c>
      <x:c s="4" t="n">
        <x:v>1182777.16</x:v>
      </x:c>
      <x:c s="4" t="n">
        <x:v>295694.29</x:v>
      </x:c>
      <x:c s="4" t="n">
        <x:v>295694.29</x:v>
      </x:c>
      <x:c s="4" t="n">
        <x:v>295694.29</x:v>
      </x:c>
      <x:c s="4" t="n">
        <x:v>295694.29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1">
      <x:c s="3" t="inlineStr">
        <x:is>
          <x:t xml:space="preserve">    Офисные расходы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Интернет и связь</x:t>
        </x:is>
      </x:c>
      <x:c s="4" t="n">
        <x:v>12000</x:v>
      </x:c>
      <x:c s="4" t="n">
        <x:v>3000</x:v>
      </x:c>
      <x:c s="4" t="n">
        <x:v>3000</x:v>
      </x:c>
      <x:c s="4" t="n">
        <x:v>3000</x:v>
      </x:c>
      <x:c s="4" t="n">
        <x:v>3000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0">
      <x:c s="1" t="inlineStr">
        <x:is>
          <x:t xml:space="preserve">Операционная прибыль</x:t>
        </x:is>
      </x:c>
      <x:c s="2" t="n">
        <x:v>296430.3</x:v>
      </x:c>
      <x:c s="2" t="n">
        <x:v>273546.4699999998</x:v>
      </x:c>
      <x:c s="2" t="n">
        <x:v>-45705.39000000007</x:v>
      </x:c>
      <x:c s="2" t="n">
        <x:v>34294.60999999993</x:v>
      </x:c>
      <x:c s="2" t="n">
        <x:v>34294.60999999993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1" outlineLevel="0">
      <x:c s="1" t="inlineStr">
        <x:is>
          <x:t xml:space="preserve">Операционная рентабельность</x:t>
        </x:is>
      </x:c>
      <x:c s="2" t="inlineStr">
        <x:is>
          <x:t xml:space="preserve">2.91%</x:t>
        </x:is>
      </x:c>
      <x:c s="2" t="inlineStr">
        <x:is>
          <x:t xml:space="preserve">9.91%</x:t>
        </x:is>
      </x:c>
      <x:c s="2" t="inlineStr">
        <x:is>
          <x:t xml:space="preserve">-1.85%</x:t>
        </x:is>
      </x:c>
      <x:c s="2" t="inlineStr">
        <x:is>
          <x:t xml:space="preserve">1.39%</x:t>
        </x:is>
      </x:c>
      <x:c s="2" t="inlineStr">
        <x:is>
          <x:t xml:space="preserve">1.39%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2" outlineLevel="0">
      <x:c s="3" t="inlineStr">
        <x:is>
          <x:t xml:space="preserve">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1">
      <x:c s="3" t="inlineStr">
        <x:is>
          <x:t xml:space="preserve">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1">
      <x:c s="3" t="inlineStr">
        <x:is>
          <x:t xml:space="preserve">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0">
      <x:c s="3" t="inlineStr">
        <x:is>
          <x:t xml:space="preserve">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1">
      <x:c s="3" t="inlineStr">
        <x:is>
          <x:t xml:space="preserve">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0">
      <x:c s="1" t="inlineStr">
        <x:is>
          <x:t xml:space="preserve">EBITDA</x:t>
        </x:is>
      </x:c>
      <x:c s="2" t="n">
        <x:v>296430.3</x:v>
      </x:c>
      <x:c s="2" t="n">
        <x:v>273546.4699999998</x:v>
      </x:c>
      <x:c s="2" t="n">
        <x:v>-45705.39000000007</x:v>
      </x:c>
      <x:c s="2" t="n">
        <x:v>34294.60999999993</x:v>
      </x:c>
      <x:c s="2" t="n">
        <x:v>34294.60999999993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0" outlineLevel="0">
      <x:c s="1" t="inlineStr">
        <x:is>
          <x:t xml:space="preserve">Рентабельность по EBITDA</x:t>
        </x:is>
      </x:c>
      <x:c s="2" t="inlineStr">
        <x:is>
          <x:t xml:space="preserve">2.91%</x:t>
        </x:is>
      </x:c>
      <x:c s="2" t="inlineStr">
        <x:is>
          <x:t xml:space="preserve">9.91%</x:t>
        </x:is>
      </x:c>
      <x:c s="2" t="inlineStr">
        <x:is>
          <x:t xml:space="preserve">-1.85%</x:t>
        </x:is>
      </x:c>
      <x:c s="2" t="inlineStr">
        <x:is>
          <x:t xml:space="preserve">1.39%</x:t>
        </x:is>
      </x:c>
      <x:c s="2" t="inlineStr">
        <x:is>
          <x:t xml:space="preserve">1.39%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1" outlineLevel="0">
      <x:c s="3" t="inlineStr">
        <x:is>
          <x:t xml:space="preserve">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2" outlineLevel="1">
      <x:c s="3" t="inlineStr">
        <x:is>
          <x:t xml:space="preserve">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3" outlineLevel="1">
      <x:c s="3" t="inlineStr">
        <x:is>
          <x:t xml:space="preserve">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4" outlineLevel="0">
      <x:c s="3" t="inlineStr">
        <x:is>
          <x:t xml:space="preserve">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5" outlineLevel="0">
      <x:c s="3" t="inlineStr">
        <x:is>
          <x:t xml:space="preserve">Налог на прибыль</x:t>
        </x:is>
      </x:c>
      <x:c s="4" t="n">
        <x:v>638865.48</x:v>
      </x:c>
      <x:c s="4" t="n">
        <x:v>159716.37</x:v>
      </x:c>
      <x:c s="4" t="n">
        <x:v>159716.37</x:v>
      </x:c>
      <x:c s="4" t="n">
        <x:v>159716.37</x:v>
      </x:c>
      <x:c s="4" t="n">
        <x:v>159716.37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6" outlineLevel="1">
      <x:c s="3" t="inlineStr">
        <x:is>
          <x:t xml:space="preserve">    Налоги УСН</x:t>
        </x:is>
      </x:c>
      <x:c s="4" t="n">
        <x:v>168000</x:v>
      </x:c>
      <x:c s="4" t="n">
        <x:v>42000</x:v>
      </x:c>
      <x:c s="4" t="n">
        <x:v>42000</x:v>
      </x:c>
      <x:c s="4" t="n">
        <x:v>42000</x:v>
      </x:c>
      <x:c s="4" t="n">
        <x:v>42000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7" outlineLevel="1">
      <x:c s="3" t="inlineStr">
        <x:is>
          <x:t xml:space="preserve">    Налоги НДС 5%</x:t>
        </x:is>
      </x:c>
      <x:c s="4" t="n">
        <x:v>470865.48</x:v>
      </x:c>
      <x:c s="4" t="n">
        <x:v>117716.37</x:v>
      </x:c>
      <x:c s="4" t="n">
        <x:v>117716.37</x:v>
      </x:c>
      <x:c s="4" t="n">
        <x:v>117716.37</x:v>
      </x:c>
      <x:c s="4" t="n">
        <x:v>117716.37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8" outlineLevel="0">
      <x:c s="1" t="inlineStr">
        <x:is>
          <x:t xml:space="preserve">Чистая прибыль (убыток)</x:t>
        </x:is>
      </x:c>
      <x:c s="2" t="n">
        <x:v>-342435.18</x:v>
      </x:c>
      <x:c s="2" t="n">
        <x:v>113830.0999999998</x:v>
      </x:c>
      <x:c s="2" t="n">
        <x:v>-205421.76000000007</x:v>
      </x:c>
      <x:c s="2" t="n">
        <x:v>-125421.76000000007</x:v>
      </x:c>
      <x:c s="2" t="n">
        <x:v>-125421.76000000007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9" outlineLevel="0">
      <x:c s="1" t="inlineStr">
        <x:is>
          <x:t xml:space="preserve">Рентабельность чистой прибыли</x:t>
        </x:is>
      </x:c>
      <x:c s="2" t="inlineStr">
        <x:is>
          <x:t xml:space="preserve">-3.37%</x:t>
        </x:is>
      </x:c>
      <x:c s="2" t="inlineStr">
        <x:is>
          <x:t xml:space="preserve">4.13%</x:t>
        </x:is>
      </x:c>
      <x:c s="2" t="inlineStr">
        <x:is>
          <x:t xml:space="preserve">-8.31%</x:t>
        </x:is>
      </x:c>
      <x:c s="2" t="inlineStr">
        <x:is>
          <x:t xml:space="preserve">-5.07%</x:t>
        </x:is>
      </x:c>
      <x:c s="2" t="inlineStr">
        <x:is>
          <x:t xml:space="preserve">-5.07%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B2"/>
    <x:mergeCell ref="C2:C2"/>
    <x:mergeCell ref="D2:D2"/>
    <x:mergeCell ref="E2:E2"/>
    <x:mergeCell ref="F2:F2"/>
    <x:mergeCell ref="G2:G2"/>
    <x:mergeCell ref="H2:H2"/>
    <x:mergeCell ref="I2:I2"/>
    <x:mergeCell ref="J2:J2"/>
    <x:mergeCell ref="K2:K2"/>
    <x:mergeCell ref="L2:L2"/>
    <x:mergeCell ref="M2:M2"/>
    <x:mergeCell ref="I1:J1"/>
  </x:mergeCells>
</x:worksheet>
</file>