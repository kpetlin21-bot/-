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3429b63b4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886ae1c1ecfb4e86"/>
  </x:sheets>
</x:workbook>
</file>

<file path=xl/styles.xml><?xml version="1.0" encoding="utf-8"?>
<x:styleSheet xmlns:x="http://schemas.openxmlformats.org/spreadsheetml/2006/main">
  <x:fonts count="9">
    <x:font/>
    <x:font>
      <x:b/>
      <x:sz val="12"/>
      <x:color rgb="000000"/>
    </x:font>
    <x:font>
      <x:b/>
      <x:sz val="12"/>
      <x:color rgb="000000"/>
    </x:font>
    <x:font>
      <x:sz val="12"/>
      <x:color rgb="000000"/>
    </x:font>
    <x:font>
      <x:sz val="12"/>
      <x:color rgb="000000"/>
    </x:font>
    <x:font>
      <x:sz val="12"/>
      <x:color rgb="000000"/>
    </x:font>
    <x:font>
      <x:b/>
      <x:sz val="15"/>
      <x:color rgb="FF40A7BA"/>
      <x:name val="Arial"/>
    </x:font>
    <x:font>
      <x:b/>
      <x:sz val="12"/>
      <x:color rgb="FF595959"/>
      <x:name val="Arial"/>
    </x:font>
    <x:font>
      <x:b/>
      <x:sz val="13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ebf5fa"/>
      </x:patternFill>
    </x:fill>
    <x:fill>
      <x:patternFill patternType="solid">
        <x:fgColor rgb="FFF2F2F2"/>
      </x:patternFill>
    </x:fill>
    <x:fill>
      <x:patternFill patternType="solid">
        <x:fgColor rgb="FF198C9A"/>
      </x:patternFill>
    </x:fill>
  </x:fills>
  <x:borders count="6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/>
  </x:cellStyleXfs>
  <x:cellXfs count="9">
    <x:xf/>
    <x:xf fontId="1" fillId="0" borderId="1" xfId="0">
      <x:alignment horizontal="left" vertical="center"/>
    </x:xf>
    <x:xf fontId="2" fillId="0" borderId="2" xfId="0">
      <x:alignment horizontal="center" vertical="center"/>
    </x:xf>
    <x:xf fontId="3" fillId="0" borderId="3" xfId="0">
      <x:alignment horizontal="left" vertical="center"/>
    </x:xf>
    <x:xf fontId="4" fillId="0" borderId="4" xfId="0">
      <x:alignment horizontal="center" vertical="center"/>
    </x:xf>
    <x:xf fontId="5" fillId="2" borderId="5" xfId="0">
      <x:alignment horizontal="center" vertical="center"/>
    </x:xf>
    <x:xf numFmtId="0" fontId="6" fillId="3" borderId="0" xfId="0" applyNumberFormat="1" applyFont="1" applyFill="1" applyAlignment="1">
      <x:alignment horizontal="center" vertical="center"/>
    </x:xf>
    <x:xf numFmtId="0" fontId="7" fillId="3" borderId="0" xfId="0" applyNumberFormat="1" applyFont="1" applyFill="1" applyAlignment="1">
      <x:alignment horizontal="left" vertical="center"/>
    </x:xf>
    <x:xf numFmtId="0" fontId="8" fillId="4" borderId="0" xfId="0" applyNumberFormat="1" applyFont="1" applyFill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6f2a684d74992" /><Relationship Type="http://schemas.openxmlformats.org/officeDocument/2006/relationships/worksheet" Target="/xl/worksheets/sheet1.xml" Id="R886ae1c1ecfb4e86" /></Relationships>
</file>

<file path=xl/worksheets/sheet1.xml><?xml version="1.0" encoding="utf-8"?>
<x:worksheet xmlns:x="http://schemas.openxmlformats.org/spreadsheetml/2006/main">
  <x:cols>
    <x:col min="1" max="1" width="41.857142857142854" customWidth="1"/>
    <x:col min="2" max="2" width="10.428571428571429" customWidth="1"/>
    <x:col min="3" max="3" width="10.428571428571429" customWidth="1"/>
    <x:col min="4" max="4" width="10.428571428571429" customWidth="1"/>
    <x:col min="5" max="5" width="10.428571428571429" customWidth="1"/>
    <x:col min="6" max="6" width="10.428571428571429" customWidth="1"/>
    <x:col min="7" max="7" width="10.428571428571429" customWidth="1"/>
    <x:col min="8" max="8" width="10.428571428571429" customWidth="1"/>
    <x:col min="9" max="9" width="10.428571428571429" customWidth="1"/>
    <x:col min="10" max="10" width="10.428571428571429" customWidth="1"/>
    <x:col min="11" max="11" width="10.428571428571429" customWidth="1"/>
    <x:col min="12" max="12" width="10.428571428571429" customWidth="1"/>
    <x:col min="13" max="13" width="10.428571428571429" customWidth="1"/>
    <x:col min="14" max="14" width="10.428571428571429" customWidth="1"/>
    <x:col min="15" max="15" width="10.428571428571429" customWidth="1"/>
    <x:col min="16" max="16" width="10.428571428571429" customWidth="1"/>
    <x:col min="17" max="17" width="10.428571428571429" customWidth="1"/>
    <x:col min="18" max="18" width="13.571428571428571" customWidth="1"/>
  </x:cols>
  <x:sheetData>
    <x:row r="1" ht="27" customHeight="1">
      <x:c r="A1" s="6" t="inlineStr">
        <x:is>
          <x:t xml:space="preserve">ПланФакт</x:t>
        </x:is>
      </x:c>
      <x:c r="B1" s="7" t="inlineStr">
        <x:is>
          <x:t xml:space="preserve">Создано с помощью сервиса ПланФакт</x:t>
        </x:is>
      </x:c>
      <x:c r="C1" s="7" t="n"/>
      <x:c r="D1" s="7" t="n"/>
      <x:c r="E1" s="7" t="n"/>
      <x:c r="F1" s="7" t="n"/>
      <x:c r="G1" s="7" t="n"/>
      <x:c r="H1" s="7" t="n"/>
      <x:c r="I1" s="7" t="n"/>
      <x:c r="J1" s="7" t="n"/>
      <x:c r="K1" s="7" t="n"/>
      <x:c r="L1" s="7" t="n"/>
      <x:c r="M1" s="7" t="n"/>
      <x:c r="N1" s="7" t="n"/>
      <x:c r="O1" s="7" t="n"/>
      <x:c r="P1" s="7" t="n"/>
      <x:c r="Q1" s="8" t="inlineStr">
        <x:f>HYPERLINK("https://app.planfact.io/?from=Pf_BDR", "Перейти в сервис")</x:f>
        <x:is>
          <x:t xml:space="default">Перейти в сервис</x:t>
        </x:is>
      </x:c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  <x:c r="AA1" s="7" t="n"/>
      <x:c r="AB1" s="7" t="n"/>
    </x:row>
    <x:row r="2" outlineLevel="0">
      <x:c s="5" t="inlineStr">
        <x:is>
          <x:t xml:space="preserve"/>
        </x:is>
      </x:c>
      <x:c s="5" t="inlineStr">
        <x:is>
          <x:t xml:space="preserve">Итого</x:t>
        </x:is>
      </x:c>
      <x:c s="5" t="inlineStr">
        <x:is>
          <x:t xml:space="preserve">Итого</x:t>
        </x:is>
      </x:c>
      <x:c s="5" t="inlineStr">
        <x:is>
          <x:t xml:space="preserve">июнь` 26</x:t>
        </x:is>
      </x:c>
      <x:c s="5" t="inlineStr">
        <x:is>
          <x:t xml:space="preserve">июнь` 26</x:t>
        </x:is>
      </x:c>
      <x:c s="5" t="inlineStr">
        <x:is>
          <x:t xml:space="preserve">июль` 26</x:t>
        </x:is>
      </x:c>
      <x:c s="5" t="inlineStr">
        <x:is>
          <x:t xml:space="preserve">июль` 26</x:t>
        </x:is>
      </x:c>
      <x:c s="5" t="inlineStr">
        <x:is>
          <x:t xml:space="preserve">август` 26</x:t>
        </x:is>
      </x:c>
      <x:c s="5" t="inlineStr">
        <x:is>
          <x:t xml:space="preserve">август` 26</x:t>
        </x:is>
      </x:c>
      <x:c s="5" t="inlineStr">
        <x:is>
          <x:t xml:space="preserve">сентябрь` 26</x:t>
        </x:is>
      </x:c>
      <x:c s="5" t="inlineStr">
        <x:is>
          <x:t xml:space="preserve">сентябрь` 26</x:t>
        </x:is>
      </x:c>
      <x:c s="5" t="inlineStr">
        <x:is>
          <x:t xml:space="preserve">октябрь` 26</x:t>
        </x:is>
      </x:c>
      <x:c s="5" t="inlineStr">
        <x:is>
          <x:t xml:space="preserve">октябрь` 26</x:t>
        </x:is>
      </x:c>
      <x:c s="5" t="inlineStr">
        <x:is>
          <x:t xml:space="preserve">ноябрь` 26</x:t>
        </x:is>
      </x:c>
      <x:c s="5" t="inlineStr">
        <x:is>
          <x:t xml:space="preserve">ноябрь` 26</x:t>
        </x:is>
      </x:c>
      <x:c s="5" t="inlineStr">
        <x:is>
          <x:t xml:space="preserve">декабрь` 26</x:t>
        </x:is>
      </x:c>
      <x:c s="5" t="inlineStr">
        <x:is>
          <x:t xml:space="preserve">декабрь` 26</x:t>
        </x:is>
      </x:c>
    </x:row>
    <x:row r="3" outlineLevel="0">
      <x:c s="5" t="inlineStr">
        <x:is>
          <x:t xml:space="preserve">ЖК Астрид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  <x:c s="5" t="inlineStr">
        <x:is>
          <x:t xml:space="preserve">план</x:t>
        </x:is>
      </x:c>
      <x:c s="5" t="inlineStr">
        <x:is>
          <x:t xml:space="preserve">факт</x:t>
        </x:is>
      </x:c>
    </x:row>
    <x:row r="4" outlineLevel="0">
      <x:c s="3" t="inlineStr">
        <x:is>
          <x:t xml:space="preserve">Выручка</x:t>
        </x:is>
      </x:c>
      <x:c s="4" t="n">
        <x:v>3085842.28</x:v>
      </x:c>
      <x:c s="4" t="n">
        <x:v>228370.58</x:v>
      </x:c>
      <x:c s="4" t="n">
        <x:v>1123960.5699999998</x:v>
      </x:c>
      <x:c s="4" t="n">
        <x:v>228370.58</x:v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" outlineLevel="1">
      <x:c s="3" t="inlineStr">
        <x:is>
          <x:t xml:space="preserve">    Нераспределенный доход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" outlineLevel="1">
      <x:c s="3" t="inlineStr">
        <x:is>
          <x:t xml:space="preserve">    Выручка </x:t>
        </x:is>
      </x:c>
      <x:c s="4" t="n">
        <x:v>3085842.28</x:v>
      </x:c>
      <x:c s="4" t="n">
        <x:v>228370.58</x:v>
      </x:c>
      <x:c s="4" t="n">
        <x:v>1123960.5699999998</x:v>
      </x:c>
      <x:c s="4" t="n">
        <x:v>228370.58</x:v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" outlineLevel="2">
      <x:c s="3" t="inlineStr">
        <x:is>
          <x:t xml:space="preserve">        Реализация услуг Клининг (ОД)</x:t>
        </x:is>
      </x:c>
      <x:c s="4" t="n">
        <x:v>2615842.28</x:v>
      </x:c>
      <x:c s="4" t="n">
        <x:v>228370.58</x:v>
      </x:c>
      <x:c s="4" t="n">
        <x:v>653960.57</x:v>
      </x:c>
      <x:c s="4" t="n">
        <x:v>228370.58</x:v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n">
        <x:v>653960.57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" outlineLevel="2">
      <x:c s="3" t="inlineStr">
        <x:is>
          <x:t xml:space="preserve">        Реализация услуг Клининг (Доп.услуги)</x:t>
        </x:is>
      </x:c>
      <x:c s="4" t="n">
        <x:v>470000</x:v>
      </x:c>
      <x:c s="4" t="inlineStr">
        <x:is>
          <x:t xml:space="preserve">-</x:t>
        </x:is>
      </x:c>
      <x:c s="4" t="n">
        <x:v>470000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" outlineLevel="2">
      <x:c s="3" t="inlineStr">
        <x:is>
          <x:t xml:space="preserve">        Реализация услуг Клининг (снег)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0" outlineLevel="0">
      <x:c s="3" t="inlineStr">
        <x:is>
          <x:t xml:space="preserve">Прямые расходы</x:t>
        </x:is>
      </x:c>
      <x:c s="4" t="n">
        <x:v>2546360.51</x:v>
      </x:c>
      <x:c s="4" t="n">
        <x:v>647858.63</x:v>
      </x:c>
      <x:c s="4" t="n">
        <x:v>669890.5099999999</x:v>
      </x:c>
      <x:c s="4" t="n">
        <x:v>647858.63</x:v>
      </x:c>
      <x:c s="4" t="n">
        <x:v>625490</x:v>
      </x:c>
      <x:c s="4" t="inlineStr">
        <x:is>
          <x:t xml:space="preserve">-</x:t>
        </x:is>
      </x:c>
      <x:c s="4" t="n">
        <x:v>625490</x:v>
      </x:c>
      <x:c s="4" t="inlineStr">
        <x:is>
          <x:t xml:space="preserve">-</x:t>
        </x:is>
      </x:c>
      <x:c s="4" t="n">
        <x:v>625490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1" outlineLevel="1">
      <x:c s="3" t="inlineStr">
        <x:is>
          <x:t xml:space="preserve">    Нераспределенный расход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2" outlineLevel="1">
      <x:c s="3" t="inlineStr">
        <x:is>
          <x:t xml:space="preserve">    Транспортные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3" outlineLevel="1">
      <x:c s="3" t="inlineStr">
        <x:is>
          <x:t xml:space="preserve">    Переменные</x:t>
        </x:is>
      </x:c>
      <x:c s="4" t="n">
        <x:v>71587.92</x:v>
      </x:c>
      <x:c s="4" t="n">
        <x:v>10587.92</x:v>
      </x:c>
      <x:c s="4" t="n">
        <x:v>26587.92</x:v>
      </x:c>
      <x:c s="4" t="n">
        <x:v>10587.92</x:v>
      </x:c>
      <x:c s="4" t="n">
        <x:v>15000</x:v>
      </x:c>
      <x:c s="4" t="inlineStr">
        <x:is>
          <x:t xml:space="preserve">-</x:t>
        </x:is>
      </x:c>
      <x:c s="4" t="n">
        <x:v>15000</x:v>
      </x:c>
      <x:c s="4" t="inlineStr">
        <x:is>
          <x:t xml:space="preserve">-</x:t>
        </x:is>
      </x:c>
      <x:c s="4" t="n">
        <x:v>15000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4" outlineLevel="2">
      <x:c s="3" t="inlineStr">
        <x:is>
          <x:t xml:space="preserve">        Услуги техниги для уборки снега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5" outlineLevel="2">
      <x:c s="3" t="inlineStr">
        <x:is>
          <x:t xml:space="preserve">        Услуги садовника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6" outlineLevel="2">
      <x:c s="3" t="inlineStr">
        <x:is>
          <x:t xml:space="preserve">        Сыпучие материалы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7" outlineLevel="2">
      <x:c s="3" t="inlineStr">
        <x:is>
          <x:t xml:space="preserve">        Расходные материалы и инстументы (МОП)</x:t>
        </x:is>
      </x:c>
      <x:c s="4" t="n">
        <x:v>51587.92</x:v>
      </x:c>
      <x:c s="4" t="n">
        <x:v>10587.92</x:v>
      </x:c>
      <x:c s="4" t="n">
        <x:v>21587.92</x:v>
      </x:c>
      <x:c s="4" t="n">
        <x:v>10587.92</x:v>
      </x:c>
      <x:c s="4" t="n">
        <x:v>10000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8" outlineLevel="2">
      <x:c s="3" t="inlineStr">
        <x:is>
          <x:t xml:space="preserve">        Расходные материалы и инстументы  (ПТ)</x:t>
        </x:is>
      </x:c>
      <x:c s="4" t="n">
        <x:v>20000</x:v>
      </x:c>
      <x:c s="4" t="inlineStr">
        <x:is>
          <x:t xml:space="preserve">-</x:t>
        </x:is>
      </x:c>
      <x:c s="4" t="n">
        <x:v>5000</x:v>
      </x:c>
      <x:c s="4" t="inlineStr">
        <x:is>
          <x:t xml:space="preserve">-</x:t>
        </x:is>
      </x:c>
      <x:c s="4" t="n">
        <x:v>5000</x:v>
      </x:c>
      <x:c s="4" t="inlineStr">
        <x:is>
          <x:t xml:space="preserve">-</x:t>
        </x:is>
      </x:c>
      <x:c s="4" t="n">
        <x:v>5000</x:v>
      </x:c>
      <x:c s="4" t="inlineStr">
        <x:is>
          <x:t xml:space="preserve">-</x:t>
        </x:is>
      </x:c>
      <x:c s="4" t="n">
        <x:v>5000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19" outlineLevel="2">
      <x:c s="3" t="inlineStr">
        <x:is>
          <x:t xml:space="preserve">        Арена оборудования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0" outlineLevel="2">
      <x:c s="3" t="inlineStr">
        <x:is>
          <x:t xml:space="preserve">        Арена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1" outlineLevel="1">
      <x:c s="3" t="inlineStr">
        <x:is>
          <x:t xml:space="preserve">    Заработная плата  (МОП)</x:t>
        </x:is>
      </x:c>
      <x:c s="4" t="n">
        <x:v>840120</x:v>
      </x:c>
      <x:c s="4" t="n">
        <x:v>209688.53</x:v>
      </x:c>
      <x:c s="4" t="n">
        <x:v>210030</x:v>
      </x:c>
      <x:c s="4" t="n">
        <x:v>209688.53</x:v>
      </x:c>
      <x:c s="4" t="n">
        <x:v>210030</x:v>
      </x:c>
      <x:c s="4" t="inlineStr">
        <x:is>
          <x:t xml:space="preserve">-</x:t>
        </x:is>
      </x:c>
      <x:c s="4" t="n">
        <x:v>210030</x:v>
      </x:c>
      <x:c s="4" t="inlineStr">
        <x:is>
          <x:t xml:space="preserve">-</x:t>
        </x:is>
      </x:c>
      <x:c s="4" t="n">
        <x:v>210030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2" outlineLevel="1">
      <x:c s="3" t="inlineStr">
        <x:is>
          <x:t xml:space="preserve">    Заработная плата (ПТ)</x:t>
        </x:is>
      </x:c>
      <x:c s="4" t="n">
        <x:v>1032000</x:v>
      </x:c>
      <x:c s="4" t="n">
        <x:v>294494.09</x:v>
      </x:c>
      <x:c s="4" t="n">
        <x:v>258000</x:v>
      </x:c>
      <x:c s="4" t="n">
        <x:v>294494.09</x:v>
      </x:c>
      <x:c s="4" t="n">
        <x:v>258000</x:v>
      </x:c>
      <x:c s="4" t="inlineStr">
        <x:is>
          <x:t xml:space="preserve">-</x:t>
        </x:is>
      </x:c>
      <x:c s="4" t="n">
        <x:v>258000</x:v>
      </x:c>
      <x:c s="4" t="inlineStr">
        <x:is>
          <x:t xml:space="preserve">-</x:t>
        </x:is>
      </x:c>
      <x:c s="4" t="n">
        <x:v>258000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3" outlineLevel="1">
      <x:c s="3" t="inlineStr">
        <x:is>
          <x:t xml:space="preserve">    Налоги с ФОТ (МОП)</x:t>
        </x:is>
      </x:c>
      <x:c s="4" t="n">
        <x:v>190800</x:v>
      </x:c>
      <x:c s="4" t="n">
        <x:v>19188.5</x:v>
      </x:c>
      <x:c s="4" t="n">
        <x:v>64800</x:v>
      </x:c>
      <x:c s="4" t="n">
        <x:v>19188.5</x:v>
      </x:c>
      <x:c s="4" t="n">
        <x:v>42000</x:v>
      </x:c>
      <x:c s="4" t="inlineStr">
        <x:is>
          <x:t xml:space="preserve">-</x:t>
        </x:is>
      </x:c>
      <x:c s="4" t="n">
        <x:v>42000</x:v>
      </x:c>
      <x:c s="4" t="inlineStr">
        <x:is>
          <x:t xml:space="preserve">-</x:t>
        </x:is>
      </x:c>
      <x:c s="4" t="n">
        <x:v>42000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4" outlineLevel="1">
      <x:c s="3" t="inlineStr">
        <x:is>
          <x:t xml:space="preserve">    Налоги с ФОТ (ПТ)</x:t>
        </x:is>
      </x:c>
      <x:c s="4" t="n">
        <x:v>5012.59</x:v>
      </x:c>
      <x:c s="4" t="n">
        <x:v>13380.59</x:v>
      </x:c>
      <x:c s="4" t="n">
        <x:v>5012.59</x:v>
      </x:c>
      <x:c s="4" t="n">
        <x:v>13380.59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5" outlineLevel="1">
      <x:c s="3" t="inlineStr">
        <x:is>
          <x:t xml:space="preserve">    Премми 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6" outlineLevel="1">
      <x:c s="3" t="inlineStr">
        <x:is>
          <x:t xml:space="preserve">    Премми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7" outlineLevel="1">
      <x:c s="3" t="inlineStr">
        <x:is>
          <x:t xml:space="preserve">    Униформа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8" outlineLevel="1">
      <x:c s="3" t="inlineStr">
        <x:is>
          <x:t xml:space="preserve">    Униформа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29" outlineLevel="1">
      <x:c s="3" t="inlineStr">
        <x:is>
          <x:t xml:space="preserve">    Ремонт оборудования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0" outlineLevel="1">
      <x:c s="3" t="inlineStr">
        <x:is>
          <x:t xml:space="preserve">    Ремонт оборудования (ПТ)</x:t>
        </x:is>
      </x:c>
      <x:c s="4" t="inlineStr">
        <x:is>
          <x:t xml:space="preserve">-</x:t>
        </x:is>
      </x:c>
      <x:c s="4" t="n">
        <x:v>1019</x:v>
      </x:c>
      <x:c s="4" t="inlineStr">
        <x:is>
          <x:t xml:space="preserve">-</x:t>
        </x:is>
      </x:c>
      <x:c s="4" t="n">
        <x:v>1019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1" outlineLevel="1">
      <x:c s="3" t="inlineStr">
        <x:is>
          <x:t xml:space="preserve">    Вывоз мусора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2" outlineLevel="1">
      <x:c s="3" t="inlineStr">
        <x:is>
          <x:t xml:space="preserve">    Штрафы, пени, неустойки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3" outlineLevel="1">
      <x:c s="3" t="inlineStr">
        <x:is>
          <x:t xml:space="preserve">    Расходы к удержанию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4" outlineLevel="1">
      <x:c s="3" t="inlineStr">
        <x:is>
          <x:t xml:space="preserve">    Общехозяйственные</x:t>
        </x:is>
      </x:c>
      <x:c s="4" t="n">
        <x:v>406840</x:v>
      </x:c>
      <x:c s="4" t="n">
        <x:v>99500</x:v>
      </x:c>
      <x:c s="4" t="n">
        <x:v>105460</x:v>
      </x:c>
      <x:c s="4" t="n">
        <x:v>99500</x:v>
      </x:c>
      <x:c s="4" t="n">
        <x:v>100460</x:v>
      </x:c>
      <x:c s="4" t="inlineStr">
        <x:is>
          <x:t xml:space="preserve">-</x:t>
        </x:is>
      </x:c>
      <x:c s="4" t="n">
        <x:v>100460</x:v>
      </x:c>
      <x:c s="4" t="inlineStr">
        <x:is>
          <x:t xml:space="preserve">-</x:t>
        </x:is>
      </x:c>
      <x:c s="4" t="n">
        <x:v>100460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5" outlineLevel="2">
      <x:c s="3" t="inlineStr">
        <x:is>
          <x:t xml:space="preserve">        Аутсорс (направления)</x:t>
        </x:is>
      </x:c>
      <x:c s="4" t="n">
        <x:v>15000</x:v>
      </x:c>
      <x:c s="4" t="n">
        <x:v>10000</x:v>
      </x:c>
      <x:c s="4" t="n">
        <x:v>7500</x:v>
      </x:c>
      <x:c s="4" t="n">
        <x:v>10000</x:v>
      </x:c>
      <x:c s="4" t="n">
        <x:v>2500</x:v>
      </x:c>
      <x:c s="4" t="inlineStr">
        <x:is>
          <x:t xml:space="preserve">-</x:t>
        </x:is>
      </x:c>
      <x:c s="4" t="n">
        <x:v>2500</x:v>
      </x:c>
      <x:c s="4" t="inlineStr">
        <x:is>
          <x:t xml:space="preserve">-</x:t>
        </x:is>
      </x:c>
      <x:c s="4" t="n">
        <x:v>2500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6" outlineLevel="2">
      <x:c s="3" t="inlineStr">
        <x:is>
          <x:t xml:space="preserve">        Заработная плата МО АУП</x:t>
        </x:is>
      </x:c>
      <x:c s="4" t="n">
        <x:v>240000</x:v>
      </x:c>
      <x:c s="4" t="n">
        <x:v>60000</x:v>
      </x:c>
      <x:c s="4" t="n">
        <x:v>60000</x:v>
      </x:c>
      <x:c s="4" t="n">
        <x:v>60000</x:v>
      </x:c>
      <x:c s="4" t="n">
        <x:v>60000</x:v>
      </x:c>
      <x:c s="4" t="inlineStr">
        <x:is>
          <x:t xml:space="preserve">-</x:t>
        </x:is>
      </x:c>
      <x:c s="4" t="n">
        <x:v>60000</x:v>
      </x:c>
      <x:c s="4" t="inlineStr">
        <x:is>
          <x:t xml:space="preserve">-</x:t>
        </x:is>
      </x:c>
      <x:c s="4" t="n">
        <x:v>60000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7" outlineLevel="2">
      <x:c s="3" t="inlineStr">
        <x:is>
          <x:t xml:space="preserve">        Инструменты: ГСМ</x:t>
        </x:is>
      </x:c>
      <x:c s="4" t="n">
        <x:v>4000</x:v>
      </x:c>
      <x:c s="4" t="n">
        <x:v>2000</x:v>
      </x:c>
      <x:c s="4" t="n">
        <x:v>1000</x:v>
      </x:c>
      <x:c s="4" t="n">
        <x:v>2000</x:v>
      </x:c>
      <x:c s="4" t="n">
        <x:v>1000</x:v>
      </x:c>
      <x:c s="4" t="inlineStr">
        <x:is>
          <x:t xml:space="preserve">-</x:t>
        </x:is>
      </x:c>
      <x:c s="4" t="n">
        <x:v>1000</x:v>
      </x:c>
      <x:c s="4" t="inlineStr">
        <x:is>
          <x:t xml:space="preserve">-</x:t>
        </x:is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8" outlineLevel="2">
      <x:c s="3" t="inlineStr">
        <x:is>
          <x:t xml:space="preserve">        Медосмотры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39" outlineLevel="2">
      <x:c s="3" t="inlineStr">
        <x:is>
          <x:t xml:space="preserve">        Налоги с ФОТ (ИП)</x:t>
        </x:is>
      </x:c>
      <x:c s="4" t="n">
        <x:v>147840</x:v>
      </x:c>
      <x:c s="4" t="n">
        <x:v>26500</x:v>
      </x:c>
      <x:c s="4" t="n">
        <x:v>36960</x:v>
      </x:c>
      <x:c s="4" t="n">
        <x:v>26500</x:v>
      </x:c>
      <x:c s="4" t="n">
        <x:v>36960</x:v>
      </x:c>
      <x:c s="4" t="inlineStr">
        <x:is>
          <x:t xml:space="preserve">-</x:t>
        </x:is>
      </x:c>
      <x:c s="4" t="n">
        <x:v>36960</x:v>
      </x:c>
      <x:c s="4" t="inlineStr">
        <x:is>
          <x:t xml:space="preserve">-</x:t>
        </x:is>
      </x:c>
      <x:c s="4" t="n">
        <x:v>36960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0" outlineLevel="2">
      <x:c s="3" t="inlineStr">
        <x:is>
          <x:t xml:space="preserve">        Приобритение мебели, бытовой техники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1" outlineLevel="2">
      <x:c s="3" t="inlineStr">
        <x:is>
          <x:t xml:space="preserve">        Комиссия за перевод ЗП</x:t>
        </x:is>
      </x:c>
      <x:c s="4" t="inlineStr">
        <x:is>
          <x:t xml:space="preserve">-</x:t>
        </x:is>
      </x:c>
      <x:c s="4" t="n">
        <x:v>1000</x:v>
      </x:c>
      <x:c s="4" t="inlineStr">
        <x:is>
          <x:t xml:space="preserve">-</x:t>
        </x:is>
      </x:c>
      <x:c s="4" t="n">
        <x:v>1000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2" outlineLevel="2">
      <x:c s="3" t="inlineStr">
        <x:is>
          <x:t xml:space="preserve">        Аренда квартиры (включая коммуналку)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3" outlineLevel="0">
      <x:c s="1" t="inlineStr">
        <x:is>
          <x:t xml:space="preserve">Валовая прибыль</x:t>
        </x:is>
      </x:c>
      <x:c s="2" t="n">
        <x:v>539481.77</x:v>
      </x:c>
      <x:c s="2" t="n">
        <x:v>-419488.05000000005</x:v>
      </x:c>
      <x:c s="2" t="n">
        <x:v>454070.05999999994</x:v>
      </x:c>
      <x:c s="2" t="n">
        <x:v>-419488.05000000005</x:v>
      </x:c>
      <x:c s="2" t="n">
        <x:v>28470.56999999995</x:v>
      </x:c>
      <x:c s="2" t="inlineStr">
        <x:is>
          <x:t xml:space="preserve">-</x:t>
        </x:is>
      </x:c>
      <x:c s="2" t="n">
        <x:v>28470.56999999995</x:v>
      </x:c>
      <x:c s="2" t="inlineStr">
        <x:is>
          <x:t xml:space="preserve">-</x:t>
        </x:is>
      </x:c>
      <x:c s="2" t="n">
        <x:v>28470.56999999995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4" outlineLevel="0">
      <x:c s="1" t="inlineStr">
        <x:is>
          <x:t xml:space="preserve">Валовая рентабельность</x:t>
        </x:is>
      </x:c>
      <x:c s="2" t="inlineStr">
        <x:is>
          <x:t xml:space="preserve">17.48%</x:t>
        </x:is>
      </x:c>
      <x:c s="2" t="inlineStr">
        <x:is>
          <x:t xml:space="preserve">-183.69%</x:t>
        </x:is>
      </x:c>
      <x:c s="2" t="inlineStr">
        <x:is>
          <x:t xml:space="preserve">40.4%</x:t>
        </x:is>
      </x:c>
      <x:c s="2" t="inlineStr">
        <x:is>
          <x:t xml:space="preserve">-183.69%</x:t>
        </x:is>
      </x:c>
      <x:c s="2" t="inlineStr">
        <x:is>
          <x:t xml:space="preserve">4.35%</x:t>
        </x:is>
      </x:c>
      <x:c s="2" t="inlineStr">
        <x:is>
          <x:t xml:space="preserve">-</x:t>
        </x:is>
      </x:c>
      <x:c s="2" t="inlineStr">
        <x:is>
          <x:t xml:space="preserve">4.35%</x:t>
        </x:is>
      </x:c>
      <x:c s="2" t="inlineStr">
        <x:is>
          <x:t xml:space="preserve">-</x:t>
        </x:is>
      </x:c>
      <x:c s="2" t="inlineStr">
        <x:is>
          <x:t xml:space="preserve">4.35%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45" outlineLevel="0">
      <x:c s="3" t="inlineStr">
        <x:is>
          <x:t xml:space="preserve">Косвенные расходы</x:t>
        </x:is>
      </x:c>
      <x:c s="4" t="n">
        <x:v>339676.8</x:v>
      </x:c>
      <x:c s="4" t="n">
        <x:v>55821.21</x:v>
      </x:c>
      <x:c s="4" t="n">
        <x:v>84919.2</x:v>
      </x:c>
      <x:c s="4" t="n">
        <x:v>55821.21</x:v>
      </x:c>
      <x:c s="4" t="n">
        <x:v>84919.2</x:v>
      </x:c>
      <x:c s="4" t="inlineStr">
        <x:is>
          <x:t xml:space="preserve">-</x:t>
        </x:is>
      </x:c>
      <x:c s="4" t="n">
        <x:v>84919.2</x:v>
      </x:c>
      <x:c s="4" t="inlineStr">
        <x:is>
          <x:t xml:space="preserve">-</x:t>
        </x:is>
      </x:c>
      <x:c s="4" t="n">
        <x:v>84919.2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6" outlineLevel="1">
      <x:c s="3" t="inlineStr">
        <x:is>
          <x:t xml:space="preserve">    Расход БЭК-ОФИС</x:t>
        </x:is>
      </x:c>
      <x:c s="4" t="n">
        <x:v>339676.8</x:v>
      </x:c>
      <x:c s="4" t="n">
        <x:v>55821.21</x:v>
      </x:c>
      <x:c s="4" t="n">
        <x:v>84919.2</x:v>
      </x:c>
      <x:c s="4" t="n">
        <x:v>55821.21</x:v>
      </x:c>
      <x:c s="4" t="n">
        <x:v>84919.2</x:v>
      </x:c>
      <x:c s="4" t="inlineStr">
        <x:is>
          <x:t xml:space="preserve">-</x:t>
        </x:is>
      </x:c>
      <x:c s="4" t="n">
        <x:v>84919.2</x:v>
      </x:c>
      <x:c s="4" t="inlineStr">
        <x:is>
          <x:t xml:space="preserve">-</x:t>
        </x:is>
      </x:c>
      <x:c s="4" t="n">
        <x:v>84919.2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7" outlineLevel="1">
      <x:c s="3" t="inlineStr">
        <x:is>
          <x:t xml:space="preserve">    Расходы на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8" outlineLevel="1">
      <x:c s="3" t="inlineStr">
        <x:is>
          <x:t xml:space="preserve">    Автомобиль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49" outlineLevel="2">
      <x:c s="3" t="inlineStr">
        <x:is>
          <x:t xml:space="preserve">        Автомобиль: ГСМ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0" outlineLevel="2">
      <x:c s="3" t="inlineStr">
        <x:is>
          <x:t xml:space="preserve">        Автомобиль: страхование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1" outlineLevel="2">
      <x:c s="3" t="inlineStr">
        <x:is>
          <x:t xml:space="preserve">        Автомобиль: ТО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2" outlineLevel="1">
      <x:c s="3" t="inlineStr">
        <x:is>
          <x:t xml:space="preserve">    Офисные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3" outlineLevel="2">
      <x:c s="3" t="inlineStr">
        <x:is>
          <x:t xml:space="preserve">        Аренда офиса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4" outlineLevel="2">
      <x:c s="3" t="inlineStr">
        <x:is>
          <x:t xml:space="preserve">        Канцелярия и обслуживание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5" outlineLevel="2">
      <x:c s="3" t="inlineStr">
        <x:is>
          <x:t xml:space="preserve">        Интернет и связь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6" outlineLevel="1">
      <x:c s="3" t="inlineStr">
        <x:is>
          <x:t xml:space="preserve">    Банковские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7" outlineLevel="1">
      <x:c s="3" t="inlineStr">
        <x:is>
          <x:t xml:space="preserve">    Заработная плата АУП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8" outlineLevel="1">
      <x:c s="3" t="inlineStr">
        <x:is>
          <x:t xml:space="preserve">    Заработная плата бухгалтерии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59" outlineLevel="1">
      <x:c s="3" t="inlineStr">
        <x:is>
          <x:t xml:space="preserve">    Заработная плата СБ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0" outlineLevel="1">
      <x:c s="3" t="inlineStr">
        <x:is>
          <x:t xml:space="preserve">    Командировочные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1" outlineLevel="2">
      <x:c s="3" t="inlineStr">
        <x:is>
          <x:t xml:space="preserve">        Командировнчеы расходы: билеты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2" outlineLevel="2">
      <x:c s="3" t="inlineStr">
        <x:is>
          <x:t xml:space="preserve">        Командировнчеы расходы: проживание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3" outlineLevel="1">
      <x:c s="3" t="inlineStr">
        <x:is>
          <x:t xml:space="preserve">    Комиссия УК ДОМ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4" outlineLevel="1">
      <x:c s="3" t="inlineStr">
        <x:is>
          <x:t xml:space="preserve">    Налоги с ФОТ (ИП)_БО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5" outlineLevel="1">
      <x:c s="3" t="inlineStr">
        <x:is>
          <x:t xml:space="preserve">    Налоги с ФОТ (НДФЛ)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6" outlineLevel="1">
      <x:c s="3" t="inlineStr">
        <x:is>
          <x:t xml:space="preserve">    Налоги с ФОТ (страховые взносы) БО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7" outlineLevel="1">
      <x:c s="3" t="inlineStr">
        <x:is>
          <x:t xml:space="preserve">    Нотариальные услуги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8" outlineLevel="1">
      <x:c s="3" t="inlineStr">
        <x:is>
          <x:t xml:space="preserve">    Обслуживание техники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69" outlineLevel="1">
      <x:c s="3" t="inlineStr">
        <x:is>
          <x:t xml:space="preserve">    Программное обеспечение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0" outlineLevel="2">
      <x:c s="3" t="inlineStr">
        <x:is>
          <x:t xml:space="preserve">        ПланФакт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1" outlineLevel="2">
      <x:c s="3" t="inlineStr">
        <x:is>
          <x:t xml:space="preserve">        ТБ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2" outlineLevel="2">
      <x:c s="3" t="inlineStr">
        <x:is>
          <x:t xml:space="preserve">        Контур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3" outlineLevel="2">
      <x:c s="3" t="inlineStr">
        <x:is>
          <x:t xml:space="preserve">        Platrum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4" outlineLevel="2">
      <x:c s="3" t="inlineStr">
        <x:is>
          <x:t xml:space="preserve">        Расходы на сайт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5" outlineLevel="1">
      <x:c s="3" t="inlineStr">
        <x:is>
          <x:t xml:space="preserve">    Расходы на технику до 40т (БО)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6" outlineLevel="1">
      <x:c s="3" t="inlineStr">
        <x:is>
          <x:t xml:space="preserve">    Такси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7" outlineLevel="1">
      <x:c s="3" t="inlineStr">
        <x:is>
          <x:t xml:space="preserve">    ФД Аутосрс (управление)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8" outlineLevel="1">
      <x:c s="3" t="inlineStr">
        <x:is>
          <x:t xml:space="preserve">    Копортативные мероприятия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79" outlineLevel="1">
      <x:c s="3" t="inlineStr">
        <x:is>
          <x:t xml:space="preserve">    HR (аутсорс)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0" outlineLevel="0">
      <x:c s="1" t="inlineStr">
        <x:is>
          <x:t xml:space="preserve">Операционная прибыль</x:t>
        </x:is>
      </x:c>
      <x:c s="2" t="n">
        <x:v>199804.97</x:v>
      </x:c>
      <x:c s="2" t="n">
        <x:v>-475309.26000000007</x:v>
      </x:c>
      <x:c s="2" t="n">
        <x:v>369150.8599999999</x:v>
      </x:c>
      <x:c s="2" t="n">
        <x:v>-475309.26000000007</x:v>
      </x:c>
      <x:c s="2" t="n">
        <x:v>-56448.63000000005</x:v>
      </x:c>
      <x:c s="2" t="inlineStr">
        <x:is>
          <x:t xml:space="preserve">-</x:t>
        </x:is>
      </x:c>
      <x:c s="2" t="n">
        <x:v>-56448.63000000005</x:v>
      </x:c>
      <x:c s="2" t="inlineStr">
        <x:is>
          <x:t xml:space="preserve">-</x:t>
        </x:is>
      </x:c>
      <x:c s="2" t="n">
        <x:v>-56448.63000000005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1" outlineLevel="0">
      <x:c s="1" t="inlineStr">
        <x:is>
          <x:t xml:space="preserve">Операционная рентабельность</x:t>
        </x:is>
      </x:c>
      <x:c s="2" t="inlineStr">
        <x:is>
          <x:t xml:space="preserve">6.47%</x:t>
        </x:is>
      </x:c>
      <x:c s="2" t="inlineStr">
        <x:is>
          <x:t xml:space="preserve">-208.13%</x:t>
        </x:is>
      </x:c>
      <x:c s="2" t="inlineStr">
        <x:is>
          <x:t xml:space="preserve">32.84%</x:t>
        </x:is>
      </x:c>
      <x:c s="2" t="inlineStr">
        <x:is>
          <x:t xml:space="preserve">-208.13%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82" outlineLevel="0">
      <x:c s="3" t="inlineStr">
        <x:is>
          <x:t xml:space="preserve">Прочие доходы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3" outlineLevel="1">
      <x:c s="3" t="inlineStr">
        <x:is>
          <x:t xml:space="preserve">    Доход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4" outlineLevel="1">
      <x:c s="3" t="inlineStr">
        <x:is>
          <x:t xml:space="preserve">    Пополненин бэк-офис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5" outlineLevel="1">
      <x:c s="3" t="inlineStr">
        <x:is>
          <x:t xml:space="preserve">    Проценты по вкладам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6" outlineLevel="1">
      <x:c s="3" t="inlineStr">
        <x:is>
          <x:t xml:space="preserve">    Курсовая разница (+)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7" outlineLevel="0">
      <x:c s="3" t="inlineStr">
        <x:is>
          <x:t xml:space="preserve">Прочие расходы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8" outlineLevel="1">
      <x:c s="3" t="inlineStr">
        <x:is>
          <x:t xml:space="preserve">    Курсовая разница (-)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89" outlineLevel="0">
      <x:c s="1" t="inlineStr">
        <x:is>
          <x:t xml:space="preserve">EBITDA</x:t>
        </x:is>
      </x:c>
      <x:c s="2" t="n">
        <x:v>199804.97</x:v>
      </x:c>
      <x:c s="2" t="n">
        <x:v>-475309.26000000007</x:v>
      </x:c>
      <x:c s="2" t="n">
        <x:v>369150.8599999999</x:v>
      </x:c>
      <x:c s="2" t="n">
        <x:v>-475309.26000000007</x:v>
      </x:c>
      <x:c s="2" t="n">
        <x:v>-56448.63000000005</x:v>
      </x:c>
      <x:c s="2" t="inlineStr">
        <x:is>
          <x:t xml:space="preserve">-</x:t>
        </x:is>
      </x:c>
      <x:c s="2" t="n">
        <x:v>-56448.63000000005</x:v>
      </x:c>
      <x:c s="2" t="inlineStr">
        <x:is>
          <x:t xml:space="preserve">-</x:t>
        </x:is>
      </x:c>
      <x:c s="2" t="n">
        <x:v>-56448.63000000005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0" outlineLevel="0">
      <x:c s="1" t="inlineStr">
        <x:is>
          <x:t xml:space="preserve">Рентабельность по EBITDA</x:t>
        </x:is>
      </x:c>
      <x:c s="2" t="inlineStr">
        <x:is>
          <x:t xml:space="preserve">6.47%</x:t>
        </x:is>
      </x:c>
      <x:c s="2" t="inlineStr">
        <x:is>
          <x:t xml:space="preserve">-208.13%</x:t>
        </x:is>
      </x:c>
      <x:c s="2" t="inlineStr">
        <x:is>
          <x:t xml:space="preserve">32.84%</x:t>
        </x:is>
      </x:c>
      <x:c s="2" t="inlineStr">
        <x:is>
          <x:t xml:space="preserve">-208.13%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-8.63%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1" outlineLevel="0">
      <x:c s="3" t="inlineStr">
        <x:is>
          <x:t xml:space="preserve">Амортизация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2" outlineLevel="1">
      <x:c s="3" t="inlineStr">
        <x:is>
          <x:t xml:space="preserve">    Амортизация ОС (ПТ)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3" outlineLevel="1">
      <x:c s="3" t="inlineStr">
        <x:is>
          <x:t xml:space="preserve">    Амортизация ОС (МОП)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4" outlineLevel="0">
      <x:c s="3" t="inlineStr">
        <x:is>
          <x:t xml:space="preserve">Проценты по кредитам и займам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5" outlineLevel="0">
      <x:c s="3" t="inlineStr">
        <x:is>
          <x:t xml:space="preserve">Налог на прибыль</x:t>
        </x:is>
      </x:c>
      <x:c s="4" t="n">
        <x:v>164563.96000000002</x:v>
      </x:c>
      <x:c s="4" t="n">
        <x:v>38678.65</x:v>
      </x:c>
      <x:c s="4" t="n">
        <x:v>41140.990000000005</x:v>
      </x:c>
      <x:c s="4" t="n">
        <x:v>38678.65</x:v>
      </x:c>
      <x:c s="4" t="n">
        <x:v>41140.990000000005</x:v>
      </x:c>
      <x:c s="4" t="inlineStr">
        <x:is>
          <x:t xml:space="preserve">-</x:t>
        </x:is>
      </x:c>
      <x:c s="4" t="n">
        <x:v>41140.990000000005</x:v>
      </x:c>
      <x:c s="4" t="inlineStr">
        <x:is>
          <x:t xml:space="preserve">-</x:t>
        </x:is>
      </x:c>
      <x:c s="4" t="n">
        <x:v>41140.990000000005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6" outlineLevel="1">
      <x:c s="3" t="inlineStr">
        <x:is>
          <x:t xml:space="preserve">    Налоги УСН</x:t>
        </x:is>
      </x:c>
      <x:c s="4" t="n">
        <x:v>40000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n">
        <x:v>10000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7" outlineLevel="1">
      <x:c s="3" t="inlineStr">
        <x:is>
          <x:t xml:space="preserve">    Налоги НДС 5%</x:t>
        </x:is>
      </x:c>
      <x:c s="4" t="n">
        <x:v>124563.96</x:v>
      </x:c>
      <x:c s="4" t="n">
        <x:v>38678.65</x:v>
      </x:c>
      <x:c s="4" t="n">
        <x:v>31140.99</x:v>
      </x:c>
      <x:c s="4" t="n">
        <x:v>38678.65</x:v>
      </x:c>
      <x:c s="4" t="n">
        <x:v>31140.99</x:v>
      </x:c>
      <x:c s="4" t="inlineStr">
        <x:is>
          <x:t xml:space="preserve">-</x:t>
        </x:is>
      </x:c>
      <x:c s="4" t="n">
        <x:v>31140.99</x:v>
      </x:c>
      <x:c s="4" t="inlineStr">
        <x:is>
          <x:t xml:space="preserve">-</x:t>
        </x:is>
      </x:c>
      <x:c s="4" t="n">
        <x:v>31140.99</x:v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  <x:c s="4" t="inlineStr">
        <x:is>
          <x:t xml:space="preserve">-</x:t>
        </x:is>
      </x:c>
    </x:row>
    <x:row r="98" outlineLevel="0">
      <x:c s="1" t="inlineStr">
        <x:is>
          <x:t xml:space="preserve">Чистая прибыль (убыток)</x:t>
        </x:is>
      </x:c>
      <x:c s="2" t="n">
        <x:v>35241.01</x:v>
      </x:c>
      <x:c s="2" t="n">
        <x:v>-513987.9100000001</x:v>
      </x:c>
      <x:c s="2" t="n">
        <x:v>328009.86999999994</x:v>
      </x:c>
      <x:c s="2" t="n">
        <x:v>-513987.9100000001</x:v>
      </x:c>
      <x:c s="2" t="n">
        <x:v>-97589.62000000005</x:v>
      </x:c>
      <x:c s="2" t="inlineStr">
        <x:is>
          <x:t xml:space="preserve">-</x:t>
        </x:is>
      </x:c>
      <x:c s="2" t="n">
        <x:v>-97589.62000000005</x:v>
      </x:c>
      <x:c s="2" t="inlineStr">
        <x:is>
          <x:t xml:space="preserve">-</x:t>
        </x:is>
      </x:c>
      <x:c s="2" t="n">
        <x:v>-97589.62000000005</x:v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  <x:row r="99" outlineLevel="0">
      <x:c s="1" t="inlineStr">
        <x:is>
          <x:t xml:space="preserve">Рентабельность чистой прибыли</x:t>
        </x:is>
      </x:c>
      <x:c s="2" t="inlineStr">
        <x:is>
          <x:t xml:space="preserve">1.14%</x:t>
        </x:is>
      </x:c>
      <x:c s="2" t="inlineStr">
        <x:is>
          <x:t xml:space="preserve">-225.07%</x:t>
        </x:is>
      </x:c>
      <x:c s="2" t="inlineStr">
        <x:is>
          <x:t xml:space="preserve">29.18%</x:t>
        </x:is>
      </x:c>
      <x:c s="2" t="inlineStr">
        <x:is>
          <x:t xml:space="preserve">-225.07%</x:t>
        </x:is>
      </x:c>
      <x:c s="2" t="inlineStr">
        <x:is>
          <x:t xml:space="preserve">-14.92%</x:t>
        </x:is>
      </x:c>
      <x:c s="2" t="inlineStr">
        <x:is>
          <x:t xml:space="preserve">-</x:t>
        </x:is>
      </x:c>
      <x:c s="2" t="inlineStr">
        <x:is>
          <x:t xml:space="preserve">-14.92%</x:t>
        </x:is>
      </x:c>
      <x:c s="2" t="inlineStr">
        <x:is>
          <x:t xml:space="preserve">-</x:t>
        </x:is>
      </x:c>
      <x:c s="2" t="inlineStr">
        <x:is>
          <x:t xml:space="preserve">-14.92%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  <x:c s="2" t="inlineStr">
        <x:is>
          <x:t xml:space="preserve">-</x:t>
        </x:is>
      </x:c>
    </x:row>
  </x:sheetData>
  <x:mergeCells>
    <x:mergeCell ref="B2:C2"/>
    <x:mergeCell ref="D2:E2"/>
    <x:mergeCell ref="F2:G2"/>
    <x:mergeCell ref="H2:I2"/>
    <x:mergeCell ref="J2:K2"/>
    <x:mergeCell ref="L2:M2"/>
    <x:mergeCell ref="N2:O2"/>
    <x:mergeCell ref="P2:Q2"/>
    <x:mergeCell ref="R2:S2"/>
    <x:mergeCell ref="T2:U2"/>
    <x:mergeCell ref="V2:W2"/>
    <x:mergeCell ref="X2:Y2"/>
    <x:mergeCell ref="Q1:R1"/>
  </x:mergeCells>
</x:worksheet>
</file>