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8e9895cd1149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f7c59e7809284cb7"/>
  </x:sheets>
</x:workbook>
</file>

<file path=xl/styles.xml><?xml version="1.0" encoding="utf-8"?>
<x:styleSheet xmlns:x="http://schemas.openxmlformats.org/spreadsheetml/2006/main">
  <x:fonts count="9">
    <x:font/>
    <x:font>
      <x:b/>
      <x:sz val="12"/>
      <x:color rgb="000000"/>
    </x:font>
    <x:font>
      <x:b/>
      <x:sz val="12"/>
      <x:color rgb="000000"/>
    </x:font>
    <x:font>
      <x:sz val="12"/>
      <x:color rgb="000000"/>
    </x:font>
    <x:font>
      <x:sz val="12"/>
      <x:color rgb="000000"/>
    </x:font>
    <x:font>
      <x:sz val="12"/>
      <x:color rgb="000000"/>
    </x:font>
    <x:font>
      <x:b/>
      <x:sz val="15"/>
      <x:color rgb="FF40A7BA"/>
      <x:name val="Arial"/>
    </x:font>
    <x:font>
      <x:b/>
      <x:sz val="12"/>
      <x:color rgb="FF595959"/>
      <x:name val="Arial"/>
    </x:font>
    <x:font>
      <x:b/>
      <x:sz val="13"/>
      <x:color rgb="FFFFFFFF"/>
    </x:font>
  </x:fonts>
  <x:fills count="5">
    <x:fill>
      <x:patternFill patternType="none"/>
    </x:fill>
    <x:fill>
      <x:patternFill patternType="gray125"/>
    </x:fill>
    <x:fill>
      <x:patternFill patternType="solid">
        <x:fgColor rgb="ebf5fa"/>
      </x:patternFill>
    </x:fill>
    <x:fill>
      <x:patternFill patternType="solid">
        <x:fgColor rgb="FFF2F2F2"/>
      </x:patternFill>
    </x:fill>
    <x:fill>
      <x:patternFill patternType="solid">
        <x:fgColor rgb="FF198C9A"/>
      </x:patternFill>
    </x:fill>
  </x:fills>
  <x:borders count="6">
    <x:border/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</x:borders>
  <x:cellStyleXfs count="1">
    <x:xf/>
  </x:cellStyleXfs>
  <x:cellXfs count="9">
    <x:xf/>
    <x:xf fontId="1" fillId="0" borderId="1" xfId="0">
      <x:alignment horizontal="left" vertical="center"/>
    </x:xf>
    <x:xf fontId="2" fillId="0" borderId="2" xfId="0">
      <x:alignment horizontal="center" vertical="center"/>
    </x:xf>
    <x:xf fontId="3" fillId="0" borderId="3" xfId="0">
      <x:alignment horizontal="left" vertical="center"/>
    </x:xf>
    <x:xf fontId="4" fillId="0" borderId="4" xfId="0">
      <x:alignment horizontal="center" vertical="center"/>
    </x:xf>
    <x:xf fontId="5" fillId="2" borderId="5" xfId="0">
      <x:alignment horizontal="center" vertical="center"/>
    </x:xf>
    <x:xf numFmtId="0" fontId="6" fillId="3" borderId="0" xfId="0" applyNumberFormat="1" applyFont="1" applyFill="1" applyAlignment="1">
      <x:alignment horizontal="center" vertical="center"/>
    </x:xf>
    <x:xf numFmtId="0" fontId="7" fillId="3" borderId="0" xfId="0" applyNumberFormat="1" applyFont="1" applyFill="1" applyAlignment="1">
      <x:alignment horizontal="left" vertical="center"/>
    </x:xf>
    <x:xf numFmtId="0" fontId="8" fillId="4" borderId="0" xfId="0" applyNumberFormat="1" applyFont="1" applyFill="1" applyAlignment="1">
      <x:alignment horizontal="center"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2ccb5ac13e497b" /><Relationship Type="http://schemas.openxmlformats.org/officeDocument/2006/relationships/worksheet" Target="/xl/worksheets/sheet1.xml" Id="Rf7c59e7809284cb7" /></Relationships>
</file>

<file path=xl/worksheets/sheet1.xml><?xml version="1.0" encoding="utf-8"?>
<x:worksheet xmlns:x="http://schemas.openxmlformats.org/spreadsheetml/2006/main">
  <x:cols>
    <x:col min="1" max="1" width="41.857142857142854" customWidth="1"/>
    <x:col min="2" max="2" width="10.428571428571429" customWidth="1"/>
    <x:col min="3" max="3" width="10.428571428571429" customWidth="1"/>
    <x:col min="4" max="4" width="10.428571428571429" customWidth="1"/>
    <x:col min="5" max="5" width="10.428571428571429" customWidth="1"/>
    <x:col min="6" max="6" width="10.428571428571429" customWidth="1"/>
    <x:col min="7" max="7" width="10.428571428571429" customWidth="1"/>
    <x:col min="8" max="8" width="10.428571428571429" customWidth="1"/>
    <x:col min="9" max="9" width="10.428571428571429" customWidth="1"/>
    <x:col min="10" max="10" width="13.571428571428571" customWidth="1"/>
  </x:cols>
  <x:sheetData>
    <x:row r="1" ht="27" customHeight="1">
      <x:c r="A1" s="6" t="inlineStr">
        <x:is>
          <x:t xml:space="preserve">ПланФакт</x:t>
        </x:is>
      </x:c>
      <x:c r="B1" s="7" t="inlineStr">
        <x:is>
          <x:t xml:space="preserve">Создано с помощью сервиса ПланФакт</x:t>
        </x:is>
      </x:c>
      <x:c r="C1" s="7" t="n"/>
      <x:c r="D1" s="7" t="n"/>
      <x:c r="E1" s="7" t="n"/>
      <x:c r="F1" s="7" t="n"/>
      <x:c r="G1" s="7" t="n"/>
      <x:c r="H1" s="7" t="n"/>
      <x:c r="I1" s="8" t="inlineStr">
        <x:f>HYPERLINK("https://app.planfact.io/?from=Pf_BDR", "Перейти в сервис")</x:f>
        <x:is>
          <x:t xml:space="default">Перейти в сервис</x:t>
        </x:is>
      </x:c>
      <x:c r="J1" s="7" t="n"/>
      <x:c r="K1" s="7" t="n"/>
      <x:c r="L1" s="7" t="n"/>
      <x:c r="M1" s="7" t="n"/>
      <x:c r="N1" s="7" t="n"/>
      <x:c r="O1" s="7" t="n"/>
      <x:c r="P1" s="7" t="n"/>
      <x:c r="Q1" s="7" t="n"/>
      <x:c r="R1" s="7" t="n"/>
      <x:c r="S1" s="7" t="n"/>
      <x:c r="T1" s="7" t="n"/>
    </x:row>
    <x:row r="2" outlineLevel="0">
      <x:c s="5" t="inlineStr">
        <x:is>
          <x:t xml:space="preserve"/>
        </x:is>
      </x:c>
      <x:c s="5" t="inlineStr">
        <x:is>
          <x:t xml:space="preserve">Итого</x:t>
        </x:is>
      </x:c>
      <x:c s="5" t="inlineStr">
        <x:is>
          <x:t xml:space="preserve">июнь` 26</x:t>
        </x:is>
      </x:c>
      <x:c s="5" t="inlineStr">
        <x:is>
          <x:t xml:space="preserve">июль` 26</x:t>
        </x:is>
      </x:c>
      <x:c s="5" t="inlineStr">
        <x:is>
          <x:t xml:space="preserve">август` 26</x:t>
        </x:is>
      </x:c>
      <x:c s="5" t="inlineStr">
        <x:is>
          <x:t xml:space="preserve">сентябрь` 26</x:t>
        </x:is>
      </x:c>
      <x:c s="5" t="inlineStr">
        <x:is>
          <x:t xml:space="preserve">октябрь` 26</x:t>
        </x:is>
      </x:c>
      <x:c s="5" t="inlineStr">
        <x:is>
          <x:t xml:space="preserve">ноябрь` 26</x:t>
        </x:is>
      </x:c>
      <x:c s="5" t="inlineStr">
        <x:is>
          <x:t xml:space="preserve">декабрь` 26</x:t>
        </x:is>
      </x:c>
    </x:row>
    <x:row r="3" outlineLevel="0">
      <x:c s="5" t="inlineStr">
        <x:is>
          <x:t xml:space="preserve">ЖК "Таллинский парк"</x:t>
        </x:is>
      </x:c>
      <x:c s="5" t="inlineStr">
        <x:is>
          <x:t xml:space="preserve">план</x:t>
        </x:is>
      </x:c>
      <x:c s="5" t="inlineStr">
        <x:is>
          <x:t xml:space="preserve">план</x:t>
        </x:is>
      </x:c>
      <x:c s="5" t="inlineStr">
        <x:is>
          <x:t xml:space="preserve">план</x:t>
        </x:is>
      </x:c>
      <x:c s="5" t="inlineStr">
        <x:is>
          <x:t xml:space="preserve">план</x:t>
        </x:is>
      </x:c>
      <x:c s="5" t="inlineStr">
        <x:is>
          <x:t xml:space="preserve">план</x:t>
        </x:is>
      </x:c>
      <x:c s="5" t="inlineStr">
        <x:is>
          <x:t xml:space="preserve">план</x:t>
        </x:is>
      </x:c>
      <x:c s="5" t="inlineStr">
        <x:is>
          <x:t xml:space="preserve">план</x:t>
        </x:is>
      </x:c>
      <x:c s="5" t="inlineStr">
        <x:is>
          <x:t xml:space="preserve">план</x:t>
        </x:is>
      </x:c>
    </x:row>
    <x:row r="4" outlineLevel="0">
      <x:c s="3" t="inlineStr">
        <x:is>
          <x:t xml:space="preserve">Выручка</x:t>
        </x:is>
      </x:c>
      <x:c s="4" t="n">
        <x:v>6397856.92</x:v>
      </x:c>
      <x:c s="4" t="n">
        <x:v>1599464.23</x:v>
      </x:c>
      <x:c s="4" t="n">
        <x:v>1599464.23</x:v>
      </x:c>
      <x:c s="4" t="n">
        <x:v>1599464.23</x:v>
      </x:c>
      <x:c s="4" t="n">
        <x:v>1599464.23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" outlineLevel="1">
      <x:c s="3" t="inlineStr">
        <x:is>
          <x:t xml:space="preserve">    Нераспределенный доход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" outlineLevel="1">
      <x:c s="3" t="inlineStr">
        <x:is>
          <x:t xml:space="preserve">    Выручка </x:t>
        </x:is>
      </x:c>
      <x:c s="4" t="n">
        <x:v>6397856.92</x:v>
      </x:c>
      <x:c s="4" t="n">
        <x:v>1599464.23</x:v>
      </x:c>
      <x:c s="4" t="n">
        <x:v>1599464.23</x:v>
      </x:c>
      <x:c s="4" t="n">
        <x:v>1599464.23</x:v>
      </x:c>
      <x:c s="4" t="n">
        <x:v>1599464.23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" outlineLevel="2">
      <x:c s="3" t="inlineStr">
        <x:is>
          <x:t xml:space="preserve">        Реализация услуг Клининг (ОД)</x:t>
        </x:is>
      </x:c>
      <x:c s="4" t="n">
        <x:v>6397856.92</x:v>
      </x:c>
      <x:c s="4" t="n">
        <x:v>1599464.23</x:v>
      </x:c>
      <x:c s="4" t="n">
        <x:v>1599464.23</x:v>
      </x:c>
      <x:c s="4" t="n">
        <x:v>1599464.23</x:v>
      </x:c>
      <x:c s="4" t="n">
        <x:v>1599464.23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" outlineLevel="2">
      <x:c s="3" t="inlineStr">
        <x:is>
          <x:t xml:space="preserve">        Реализация услуг Клининг (Доп.услуги)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9" outlineLevel="2">
      <x:c s="3" t="inlineStr">
        <x:is>
          <x:t xml:space="preserve">        Реализация услуг Клининг (снег)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0" outlineLevel="0">
      <x:c s="3" t="inlineStr">
        <x:is>
          <x:t xml:space="preserve">Прямые расходы</x:t>
        </x:is>
      </x:c>
      <x:c s="4" t="n">
        <x:v>3517036.57</x:v>
      </x:c>
      <x:c s="4" t="n">
        <x:v>1062686.5699999998</x:v>
      </x:c>
      <x:c s="4" t="n">
        <x:v>821450</x:v>
      </x:c>
      <x:c s="4" t="n">
        <x:v>816450</x:v>
      </x:c>
      <x:c s="4" t="n">
        <x:v>816450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1" outlineLevel="1">
      <x:c s="3" t="inlineStr">
        <x:is>
          <x:t xml:space="preserve">    Нераспределенный расход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2" outlineLevel="1">
      <x:c s="3" t="inlineStr">
        <x:is>
          <x:t xml:space="preserve">    Транспортные расходы</x:t>
        </x:is>
      </x:c>
      <x:c s="4" t="n">
        <x:v>15000</x:v>
      </x:c>
      <x:c s="4" t="n">
        <x:v>15000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3" outlineLevel="1">
      <x:c s="3" t="inlineStr">
        <x:is>
          <x:t xml:space="preserve">    Переменные</x:t>
        </x:is>
      </x:c>
      <x:c s="4" t="n">
        <x:v>75906</x:v>
      </x:c>
      <x:c s="4" t="n">
        <x:v>51906</x:v>
      </x:c>
      <x:c s="4" t="n">
        <x:v>8000</x:v>
      </x:c>
      <x:c s="4" t="n">
        <x:v>8000</x:v>
      </x:c>
      <x:c s="4" t="n">
        <x:v>8000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4" outlineLevel="2">
      <x:c s="3" t="inlineStr">
        <x:is>
          <x:t xml:space="preserve">        Услуги техниги для уборки снега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5" outlineLevel="2">
      <x:c s="3" t="inlineStr">
        <x:is>
          <x:t xml:space="preserve">        Услуги садовника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6" outlineLevel="2">
      <x:c s="3" t="inlineStr">
        <x:is>
          <x:t xml:space="preserve">        Сыпучие материалы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7" outlineLevel="2">
      <x:c s="3" t="inlineStr">
        <x:is>
          <x:t xml:space="preserve">        Расходные материалы и инстументы (МОП)</x:t>
        </x:is>
      </x:c>
      <x:c s="4" t="n">
        <x:v>9525</x:v>
      </x:c>
      <x:c s="4" t="n">
        <x:v>525</x:v>
      </x:c>
      <x:c s="4" t="n">
        <x:v>3000</x:v>
      </x:c>
      <x:c s="4" t="n">
        <x:v>3000</x:v>
      </x:c>
      <x:c s="4" t="n">
        <x:v>3000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8" outlineLevel="2">
      <x:c s="3" t="inlineStr">
        <x:is>
          <x:t xml:space="preserve">        Расходные материалы и инстументы  (ПТ)</x:t>
        </x:is>
      </x:c>
      <x:c s="4" t="n">
        <x:v>48381</x:v>
      </x:c>
      <x:c s="4" t="n">
        <x:v>33381</x:v>
      </x:c>
      <x:c s="4" t="n">
        <x:v>5000</x:v>
      </x:c>
      <x:c s="4" t="n">
        <x:v>5000</x:v>
      </x:c>
      <x:c s="4" t="n">
        <x:v>5000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9" outlineLevel="2">
      <x:c s="3" t="inlineStr">
        <x:is>
          <x:t xml:space="preserve">        Арена оборудования (ПТ)</x:t>
        </x:is>
      </x:c>
      <x:c s="4" t="n">
        <x:v>18000</x:v>
      </x:c>
      <x:c s="4" t="n">
        <x:v>18000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0" outlineLevel="2">
      <x:c s="3" t="inlineStr">
        <x:is>
          <x:t xml:space="preserve">        Арена оборудования (МОП)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1" outlineLevel="1">
      <x:c s="3" t="inlineStr">
        <x:is>
          <x:t xml:space="preserve">    Заработная плата  (МОП)</x:t>
        </x:is>
      </x:c>
      <x:c s="4" t="n">
        <x:v>1056000</x:v>
      </x:c>
      <x:c s="4" t="n">
        <x:v>264000</x:v>
      </x:c>
      <x:c s="4" t="n">
        <x:v>264000</x:v>
      </x:c>
      <x:c s="4" t="n">
        <x:v>264000</x:v>
      </x:c>
      <x:c s="4" t="n">
        <x:v>264000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2" outlineLevel="1">
      <x:c s="3" t="inlineStr">
        <x:is>
          <x:t xml:space="preserve">    Заработная плата (ПТ)</x:t>
        </x:is>
      </x:c>
      <x:c s="4" t="n">
        <x:v>1582778</x:v>
      </x:c>
      <x:c s="4" t="n">
        <x:v>532778</x:v>
      </x:c>
      <x:c s="4" t="n">
        <x:v>350000</x:v>
      </x:c>
      <x:c s="4" t="n">
        <x:v>350000</x:v>
      </x:c>
      <x:c s="4" t="n">
        <x:v>350000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3" outlineLevel="1">
      <x:c s="3" t="inlineStr">
        <x:is>
          <x:t xml:space="preserve">    Налоги с ФОТ (МОП)</x:t>
        </x:is>
      </x:c>
      <x:c s="4" t="n">
        <x:v>53052.57</x:v>
      </x:c>
      <x:c s="4" t="n">
        <x:v>11052.57</x:v>
      </x:c>
      <x:c s="4" t="n">
        <x:v>14000</x:v>
      </x:c>
      <x:c s="4" t="n">
        <x:v>14000</x:v>
      </x:c>
      <x:c s="4" t="n">
        <x:v>14000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4" outlineLevel="1">
      <x:c s="3" t="inlineStr">
        <x:is>
          <x:t xml:space="preserve">    Налоги с ФОТ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5" outlineLevel="1">
      <x:c s="3" t="inlineStr">
        <x:is>
          <x:t xml:space="preserve">    Премми  (МОП)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6" outlineLevel="1">
      <x:c s="3" t="inlineStr">
        <x:is>
          <x:t xml:space="preserve">    Премми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7" outlineLevel="1">
      <x:c s="3" t="inlineStr">
        <x:is>
          <x:t xml:space="preserve">    Униформа (МОП)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8" outlineLevel="1">
      <x:c s="3" t="inlineStr">
        <x:is>
          <x:t xml:space="preserve">    Униформа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9" outlineLevel="1">
      <x:c s="3" t="inlineStr">
        <x:is>
          <x:t xml:space="preserve">    Ремонт оборудования (МОП)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0" outlineLevel="1">
      <x:c s="3" t="inlineStr">
        <x:is>
          <x:t xml:space="preserve">    Ремонт оборудования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1" outlineLevel="1">
      <x:c s="3" t="inlineStr">
        <x:is>
          <x:t xml:space="preserve">    Вывоз мусора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2" outlineLevel="1">
      <x:c s="3" t="inlineStr">
        <x:is>
          <x:t xml:space="preserve">    Штрафы, пени, неустойки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3" outlineLevel="1">
      <x:c s="3" t="inlineStr">
        <x:is>
          <x:t xml:space="preserve">    Расходы к удержанию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4" outlineLevel="1">
      <x:c s="3" t="inlineStr">
        <x:is>
          <x:t xml:space="preserve">    Общехозяйственные</x:t>
        </x:is>
      </x:c>
      <x:c s="4" t="n">
        <x:v>734300</x:v>
      </x:c>
      <x:c s="4" t="n">
        <x:v>187950</x:v>
      </x:c>
      <x:c s="4" t="n">
        <x:v>185450</x:v>
      </x:c>
      <x:c s="4" t="n">
        <x:v>180450</x:v>
      </x:c>
      <x:c s="4" t="n">
        <x:v>180450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5" outlineLevel="2">
      <x:c s="3" t="inlineStr">
        <x:is>
          <x:t xml:space="preserve">        Аутсорс (направления)</x:t>
        </x:is>
      </x:c>
      <x:c s="4" t="n">
        <x:v>32500</x:v>
      </x:c>
      <x:c s="4" t="n">
        <x:v>12500</x:v>
      </x:c>
      <x:c s="4" t="n">
        <x:v>10000</x:v>
      </x:c>
      <x:c s="4" t="n">
        <x:v>5000</x:v>
      </x:c>
      <x:c s="4" t="n">
        <x:v>5000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6" outlineLevel="2">
      <x:c s="3" t="inlineStr">
        <x:is>
          <x:t xml:space="preserve">        Заработная плата МО АУП</x:t>
        </x:is>
      </x:c>
      <x:c s="4" t="n">
        <x:v>480000</x:v>
      </x:c>
      <x:c s="4" t="n">
        <x:v>120000</x:v>
      </x:c>
      <x:c s="4" t="n">
        <x:v>120000</x:v>
      </x:c>
      <x:c s="4" t="n">
        <x:v>120000</x:v>
      </x:c>
      <x:c s="4" t="n">
        <x:v>120000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7" outlineLevel="2">
      <x:c s="3" t="inlineStr">
        <x:is>
          <x:t xml:space="preserve">        Инструменты: ГСМ</x:t>
        </x:is>
      </x:c>
      <x:c s="4" t="n">
        <x:v>8000</x:v>
      </x:c>
      <x:c s="4" t="n">
        <x:v>2000</x:v>
      </x:c>
      <x:c s="4" t="n">
        <x:v>2000</x:v>
      </x:c>
      <x:c s="4" t="n">
        <x:v>2000</x:v>
      </x:c>
      <x:c s="4" t="n">
        <x:v>2000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8" outlineLevel="2">
      <x:c s="3" t="inlineStr">
        <x:is>
          <x:t xml:space="preserve">        Медосмотры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9" outlineLevel="2">
      <x:c s="3" t="inlineStr">
        <x:is>
          <x:t xml:space="preserve">        Налоги с ФОТ (ИП)</x:t>
        </x:is>
      </x:c>
      <x:c s="4" t="n">
        <x:v>205800</x:v>
      </x:c>
      <x:c s="4" t="n">
        <x:v>51450</x:v>
      </x:c>
      <x:c s="4" t="n">
        <x:v>51450</x:v>
      </x:c>
      <x:c s="4" t="n">
        <x:v>51450</x:v>
      </x:c>
      <x:c s="4" t="n">
        <x:v>51450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0" outlineLevel="2">
      <x:c s="3" t="inlineStr">
        <x:is>
          <x:t xml:space="preserve">        Приобритение мебели, бытовой техники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1" outlineLevel="2">
      <x:c s="3" t="inlineStr">
        <x:is>
          <x:t xml:space="preserve">        Комиссия за перевод ЗП</x:t>
        </x:is>
      </x:c>
      <x:c s="4" t="n">
        <x:v>8000</x:v>
      </x:c>
      <x:c s="4" t="n">
        <x:v>2000</x:v>
      </x:c>
      <x:c s="4" t="n">
        <x:v>2000</x:v>
      </x:c>
      <x:c s="4" t="n">
        <x:v>2000</x:v>
      </x:c>
      <x:c s="4" t="n">
        <x:v>2000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2" outlineLevel="2">
      <x:c s="3" t="inlineStr">
        <x:is>
          <x:t xml:space="preserve">        Аренда квартиры (включая коммуналку)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3" outlineLevel="0">
      <x:c s="1" t="inlineStr">
        <x:is>
          <x:t xml:space="preserve">Валовая прибыль</x:t>
        </x:is>
      </x:c>
      <x:c s="2" t="n">
        <x:v>2880820.35</x:v>
      </x:c>
      <x:c s="2" t="n">
        <x:v>536777.6600000001</x:v>
      </x:c>
      <x:c s="2" t="n">
        <x:v>778014.23</x:v>
      </x:c>
      <x:c s="2" t="n">
        <x:v>783014.23</x:v>
      </x:c>
      <x:c s="2" t="n">
        <x:v>783014.23</x:v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</x:row>
    <x:row r="44" outlineLevel="0">
      <x:c s="1" t="inlineStr">
        <x:is>
          <x:t xml:space="preserve">Валовая рентабельность</x:t>
        </x:is>
      </x:c>
      <x:c s="2" t="inlineStr">
        <x:is>
          <x:t xml:space="preserve">45.03%</x:t>
        </x:is>
      </x:c>
      <x:c s="2" t="inlineStr">
        <x:is>
          <x:t xml:space="preserve">33.56%</x:t>
        </x:is>
      </x:c>
      <x:c s="2" t="inlineStr">
        <x:is>
          <x:t xml:space="preserve">48.64%</x:t>
        </x:is>
      </x:c>
      <x:c s="2" t="inlineStr">
        <x:is>
          <x:t xml:space="preserve">48.95%</x:t>
        </x:is>
      </x:c>
      <x:c s="2" t="inlineStr">
        <x:is>
          <x:t xml:space="preserve">48.95%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</x:row>
    <x:row r="45" outlineLevel="0">
      <x:c s="3" t="inlineStr">
        <x:is>
          <x:t xml:space="preserve">Косвенные расходы</x:t>
        </x:is>
      </x:c>
      <x:c s="4" t="n">
        <x:v>394222.48</x:v>
      </x:c>
      <x:c s="4" t="n">
        <x:v>98555.62</x:v>
      </x:c>
      <x:c s="4" t="n">
        <x:v>98555.62</x:v>
      </x:c>
      <x:c s="4" t="n">
        <x:v>98555.62</x:v>
      </x:c>
      <x:c s="4" t="n">
        <x:v>98555.62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6" outlineLevel="1">
      <x:c s="3" t="inlineStr">
        <x:is>
          <x:t xml:space="preserve">    Расход БЭК-ОФИС</x:t>
        </x:is>
      </x:c>
      <x:c s="4" t="n">
        <x:v>394222.48</x:v>
      </x:c>
      <x:c s="4" t="n">
        <x:v>98555.62</x:v>
      </x:c>
      <x:c s="4" t="n">
        <x:v>98555.62</x:v>
      </x:c>
      <x:c s="4" t="n">
        <x:v>98555.62</x:v>
      </x:c>
      <x:c s="4" t="n">
        <x:v>98555.62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7" outlineLevel="1">
      <x:c s="3" t="inlineStr">
        <x:is>
          <x:t xml:space="preserve">    Расходы на бэк-офис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8" outlineLevel="1">
      <x:c s="3" t="inlineStr">
        <x:is>
          <x:t xml:space="preserve">    Автомобиль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9" outlineLevel="2">
      <x:c s="3" t="inlineStr">
        <x:is>
          <x:t xml:space="preserve">        Автомобиль: ГСМ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0" outlineLevel="2">
      <x:c s="3" t="inlineStr">
        <x:is>
          <x:t xml:space="preserve">        Автомобиль: страхование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1" outlineLevel="2">
      <x:c s="3" t="inlineStr">
        <x:is>
          <x:t xml:space="preserve">        Автомобиль: ТО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2" outlineLevel="1">
      <x:c s="3" t="inlineStr">
        <x:is>
          <x:t xml:space="preserve">    Офисные расходы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3" outlineLevel="2">
      <x:c s="3" t="inlineStr">
        <x:is>
          <x:t xml:space="preserve">        Аренда офиса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4" outlineLevel="2">
      <x:c s="3" t="inlineStr">
        <x:is>
          <x:t xml:space="preserve">        Канцелярия и обслуживание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5" outlineLevel="2">
      <x:c s="3" t="inlineStr">
        <x:is>
          <x:t xml:space="preserve">        Интернет и связь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6" outlineLevel="1">
      <x:c s="3" t="inlineStr">
        <x:is>
          <x:t xml:space="preserve">    Банковские услуги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7" outlineLevel="1">
      <x:c s="3" t="inlineStr">
        <x:is>
          <x:t xml:space="preserve">    Заработная плата АУП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8" outlineLevel="1">
      <x:c s="3" t="inlineStr">
        <x:is>
          <x:t xml:space="preserve">    Заработная плата бухгалтерии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9" outlineLevel="1">
      <x:c s="3" t="inlineStr">
        <x:is>
          <x:t xml:space="preserve">    Заработная плата СБ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0" outlineLevel="1">
      <x:c s="3" t="inlineStr">
        <x:is>
          <x:t xml:space="preserve">    Командировочные расходы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1" outlineLevel="2">
      <x:c s="3" t="inlineStr">
        <x:is>
          <x:t xml:space="preserve">        Командировнчеы расходы: билеты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2" outlineLevel="2">
      <x:c s="3" t="inlineStr">
        <x:is>
          <x:t xml:space="preserve">        Командировнчеы расходы: проживание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3" outlineLevel="1">
      <x:c s="3" t="inlineStr">
        <x:is>
          <x:t xml:space="preserve">    Комиссия УК ДОМ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4" outlineLevel="1">
      <x:c s="3" t="inlineStr">
        <x:is>
          <x:t xml:space="preserve">    Налоги с ФОТ (ИП)_БО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5" outlineLevel="1">
      <x:c s="3" t="inlineStr">
        <x:is>
          <x:t xml:space="preserve">    Налоги с ФОТ (НДФЛ) БО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6" outlineLevel="1">
      <x:c s="3" t="inlineStr">
        <x:is>
          <x:t xml:space="preserve">    Налоги с ФОТ (страховые взносы) БО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7" outlineLevel="1">
      <x:c s="3" t="inlineStr">
        <x:is>
          <x:t xml:space="preserve">    Нотариальные услуги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8" outlineLevel="1">
      <x:c s="3" t="inlineStr">
        <x:is>
          <x:t xml:space="preserve">    Обслуживание техники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9" outlineLevel="1">
      <x:c s="3" t="inlineStr">
        <x:is>
          <x:t xml:space="preserve">    Программное обеспечение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0" outlineLevel="2">
      <x:c s="3" t="inlineStr">
        <x:is>
          <x:t xml:space="preserve">        ПланФакт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1" outlineLevel="2">
      <x:c s="3" t="inlineStr">
        <x:is>
          <x:t xml:space="preserve">        ТБ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2" outlineLevel="2">
      <x:c s="3" t="inlineStr">
        <x:is>
          <x:t xml:space="preserve">        Контур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3" outlineLevel="2">
      <x:c s="3" t="inlineStr">
        <x:is>
          <x:t xml:space="preserve">        Platrum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4" outlineLevel="2">
      <x:c s="3" t="inlineStr">
        <x:is>
          <x:t xml:space="preserve">        Расходы на сайт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5" outlineLevel="1">
      <x:c s="3" t="inlineStr">
        <x:is>
          <x:t xml:space="preserve">    Расходы на технику до 40т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6" outlineLevel="1">
      <x:c s="3" t="inlineStr">
        <x:is>
          <x:t xml:space="preserve">    Такси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7" outlineLevel="1">
      <x:c s="3" t="inlineStr">
        <x:is>
          <x:t xml:space="preserve">    ФД Аутосрс (управление)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8" outlineLevel="1">
      <x:c s="3" t="inlineStr">
        <x:is>
          <x:t xml:space="preserve">    Копортативные мероприятия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9" outlineLevel="1">
      <x:c s="3" t="inlineStr">
        <x:is>
          <x:t xml:space="preserve">    HR (аутсорс)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0" outlineLevel="0">
      <x:c s="1" t="inlineStr">
        <x:is>
          <x:t xml:space="preserve">Операционная прибыль</x:t>
        </x:is>
      </x:c>
      <x:c s="2" t="n">
        <x:v>2486597.87</x:v>
      </x:c>
      <x:c s="2" t="n">
        <x:v>438222.04000000015</x:v>
      </x:c>
      <x:c s="2" t="n">
        <x:v>679458.61</x:v>
      </x:c>
      <x:c s="2" t="n">
        <x:v>684458.61</x:v>
      </x:c>
      <x:c s="2" t="n">
        <x:v>684458.61</x:v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</x:row>
    <x:row r="81" outlineLevel="0">
      <x:c s="1" t="inlineStr">
        <x:is>
          <x:t xml:space="preserve">Операционная рентабельность</x:t>
        </x:is>
      </x:c>
      <x:c s="2" t="inlineStr">
        <x:is>
          <x:t xml:space="preserve">38.87%</x:t>
        </x:is>
      </x:c>
      <x:c s="2" t="inlineStr">
        <x:is>
          <x:t xml:space="preserve">27.4%</x:t>
        </x:is>
      </x:c>
      <x:c s="2" t="inlineStr">
        <x:is>
          <x:t xml:space="preserve">42.48%</x:t>
        </x:is>
      </x:c>
      <x:c s="2" t="inlineStr">
        <x:is>
          <x:t xml:space="preserve">42.79%</x:t>
        </x:is>
      </x:c>
      <x:c s="2" t="inlineStr">
        <x:is>
          <x:t xml:space="preserve">42.79%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</x:row>
    <x:row r="82" outlineLevel="0">
      <x:c s="3" t="inlineStr">
        <x:is>
          <x:t xml:space="preserve">Прочие доходы</x:t>
        </x:is>
      </x:c>
      <x:c s="4" t="n">
        <x:v>725</x:v>
      </x:c>
      <x:c s="4" t="n">
        <x:v>725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3" outlineLevel="1">
      <x:c s="3" t="inlineStr">
        <x:is>
          <x:t xml:space="preserve">    Доход БЭК-ОФИС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4" outlineLevel="1">
      <x:c s="3" t="inlineStr">
        <x:is>
          <x:t xml:space="preserve">    Пополненин бэк-офис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5" outlineLevel="1">
      <x:c s="3" t="inlineStr">
        <x:is>
          <x:t xml:space="preserve">    Проценты по вкладам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6" outlineLevel="1">
      <x:c s="3" t="inlineStr">
        <x:is>
          <x:t xml:space="preserve">    Курсовая разница (+)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7" outlineLevel="0">
      <x:c s="3" t="inlineStr">
        <x:is>
          <x:t xml:space="preserve">Прочие расходы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8" outlineLevel="1">
      <x:c s="3" t="inlineStr">
        <x:is>
          <x:t xml:space="preserve">    Курсовая разница (-)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9" outlineLevel="0">
      <x:c s="1" t="inlineStr">
        <x:is>
          <x:t xml:space="preserve">EBITDA</x:t>
        </x:is>
      </x:c>
      <x:c s="2" t="n">
        <x:v>2487322.87</x:v>
      </x:c>
      <x:c s="2" t="n">
        <x:v>438947.04000000015</x:v>
      </x:c>
      <x:c s="2" t="n">
        <x:v>679458.61</x:v>
      </x:c>
      <x:c s="2" t="n">
        <x:v>684458.61</x:v>
      </x:c>
      <x:c s="2" t="n">
        <x:v>684458.61</x:v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</x:row>
    <x:row r="90" outlineLevel="0">
      <x:c s="1" t="inlineStr">
        <x:is>
          <x:t xml:space="preserve">Рентабельность по EBITDA</x:t>
        </x:is>
      </x:c>
      <x:c s="2" t="inlineStr">
        <x:is>
          <x:t xml:space="preserve">38.87%</x:t>
        </x:is>
      </x:c>
      <x:c s="2" t="inlineStr">
        <x:is>
          <x:t xml:space="preserve">27.43%</x:t>
        </x:is>
      </x:c>
      <x:c s="2" t="inlineStr">
        <x:is>
          <x:t xml:space="preserve">42.48%</x:t>
        </x:is>
      </x:c>
      <x:c s="2" t="inlineStr">
        <x:is>
          <x:t xml:space="preserve">42.79%</x:t>
        </x:is>
      </x:c>
      <x:c s="2" t="inlineStr">
        <x:is>
          <x:t xml:space="preserve">42.79%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</x:row>
    <x:row r="91" outlineLevel="0">
      <x:c s="3" t="inlineStr">
        <x:is>
          <x:t xml:space="preserve">Амортизация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92" outlineLevel="1">
      <x:c s="3" t="inlineStr">
        <x:is>
          <x:t xml:space="preserve">    Амортизация ОС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93" outlineLevel="1">
      <x:c s="3" t="inlineStr">
        <x:is>
          <x:t xml:space="preserve">    Амортизация ОС (МОП)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94" outlineLevel="0">
      <x:c s="3" t="inlineStr">
        <x:is>
          <x:t xml:space="preserve">Проценты по кредитам и займам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95" outlineLevel="0">
      <x:c s="3" t="inlineStr">
        <x:is>
          <x:t xml:space="preserve">Налог на прибыль</x:t>
        </x:is>
      </x:c>
      <x:c s="4" t="n">
        <x:v>400659.92</x:v>
      </x:c>
      <x:c s="4" t="n">
        <x:v>100164.98</x:v>
      </x:c>
      <x:c s="4" t="n">
        <x:v>100164.98</x:v>
      </x:c>
      <x:c s="4" t="n">
        <x:v>100164.98</x:v>
      </x:c>
      <x:c s="4" t="n">
        <x:v>100164.98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96" outlineLevel="1">
      <x:c s="3" t="inlineStr">
        <x:is>
          <x:t xml:space="preserve">    Налоги УСН</x:t>
        </x:is>
      </x:c>
      <x:c s="4" t="n">
        <x:v>96000</x:v>
      </x:c>
      <x:c s="4" t="n">
        <x:v>24000</x:v>
      </x:c>
      <x:c s="4" t="n">
        <x:v>24000</x:v>
      </x:c>
      <x:c s="4" t="n">
        <x:v>24000</x:v>
      </x:c>
      <x:c s="4" t="n">
        <x:v>24000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97" outlineLevel="1">
      <x:c s="3" t="inlineStr">
        <x:is>
          <x:t xml:space="preserve">    Налоги НДС 5%</x:t>
        </x:is>
      </x:c>
      <x:c s="4" t="n">
        <x:v>304659.92</x:v>
      </x:c>
      <x:c s="4" t="n">
        <x:v>76164.98</x:v>
      </x:c>
      <x:c s="4" t="n">
        <x:v>76164.98</x:v>
      </x:c>
      <x:c s="4" t="n">
        <x:v>76164.98</x:v>
      </x:c>
      <x:c s="4" t="n">
        <x:v>76164.98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98" outlineLevel="0">
      <x:c s="1" t="inlineStr">
        <x:is>
          <x:t xml:space="preserve">Чистая прибыль (убыток)</x:t>
        </x:is>
      </x:c>
      <x:c s="2" t="n">
        <x:v>2086662.95</x:v>
      </x:c>
      <x:c s="2" t="n">
        <x:v>338782.0600000002</x:v>
      </x:c>
      <x:c s="2" t="n">
        <x:v>579293.63</x:v>
      </x:c>
      <x:c s="2" t="n">
        <x:v>584293.63</x:v>
      </x:c>
      <x:c s="2" t="n">
        <x:v>584293.63</x:v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</x:row>
    <x:row r="99" outlineLevel="0">
      <x:c s="1" t="inlineStr">
        <x:is>
          <x:t xml:space="preserve">Рентабельность чистой прибыли</x:t>
        </x:is>
      </x:c>
      <x:c s="2" t="inlineStr">
        <x:is>
          <x:t xml:space="preserve">32.61%</x:t>
        </x:is>
      </x:c>
      <x:c s="2" t="inlineStr">
        <x:is>
          <x:t xml:space="preserve">21.17%</x:t>
        </x:is>
      </x:c>
      <x:c s="2" t="inlineStr">
        <x:is>
          <x:t xml:space="preserve">36.22%</x:t>
        </x:is>
      </x:c>
      <x:c s="2" t="inlineStr">
        <x:is>
          <x:t xml:space="preserve">36.53%</x:t>
        </x:is>
      </x:c>
      <x:c s="2" t="inlineStr">
        <x:is>
          <x:t xml:space="preserve">36.53%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</x:row>
  </x:sheetData>
  <x:mergeCells>
    <x:mergeCell ref="B2:B2"/>
    <x:mergeCell ref="C2:C2"/>
    <x:mergeCell ref="D2:D2"/>
    <x:mergeCell ref="E2:E2"/>
    <x:mergeCell ref="F2:F2"/>
    <x:mergeCell ref="G2:G2"/>
    <x:mergeCell ref="H2:H2"/>
    <x:mergeCell ref="I2:I2"/>
    <x:mergeCell ref="J2:J2"/>
    <x:mergeCell ref="K2:K2"/>
    <x:mergeCell ref="L2:L2"/>
    <x:mergeCell ref="M2:M2"/>
    <x:mergeCell ref="I1:J1"/>
  </x:mergeCells>
</x:worksheet>
</file>