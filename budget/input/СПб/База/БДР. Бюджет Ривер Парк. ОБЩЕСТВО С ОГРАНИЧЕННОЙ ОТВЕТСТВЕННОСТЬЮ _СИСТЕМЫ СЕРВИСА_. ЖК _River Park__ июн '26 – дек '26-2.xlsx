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f97f0ad3b464bf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Лист1" sheetId="1" r:id="R263dcfd8100e4e7f"/>
  </x:sheets>
</x:workbook>
</file>

<file path=xl/styles.xml><?xml version="1.0" encoding="utf-8"?>
<x:styleSheet xmlns:x="http://schemas.openxmlformats.org/spreadsheetml/2006/main">
  <x:fonts count="9">
    <x:font/>
    <x:font>
      <x:b/>
      <x:sz val="12"/>
      <x:color rgb="000000"/>
    </x:font>
    <x:font>
      <x:b/>
      <x:sz val="12"/>
      <x:color rgb="000000"/>
    </x:font>
    <x:font>
      <x:sz val="12"/>
      <x:color rgb="000000"/>
    </x:font>
    <x:font>
      <x:sz val="12"/>
      <x:color rgb="000000"/>
    </x:font>
    <x:font>
      <x:sz val="12"/>
      <x:color rgb="000000"/>
    </x:font>
    <x:font>
      <x:b/>
      <x:sz val="15"/>
      <x:color rgb="FF40A7BA"/>
      <x:name val="Arial"/>
    </x:font>
    <x:font>
      <x:b/>
      <x:sz val="12"/>
      <x:color rgb="FF595959"/>
      <x:name val="Arial"/>
    </x:font>
    <x:font>
      <x:b/>
      <x:sz val="13"/>
      <x:color rgb="FFFFFFFF"/>
    </x:font>
  </x:fonts>
  <x:fills count="5">
    <x:fill>
      <x:patternFill patternType="none"/>
    </x:fill>
    <x:fill>
      <x:patternFill patternType="gray125"/>
    </x:fill>
    <x:fill>
      <x:patternFill patternType="solid">
        <x:fgColor rgb="ebf5fa"/>
      </x:patternFill>
    </x:fill>
    <x:fill>
      <x:patternFill patternType="solid">
        <x:fgColor rgb="FFF2F2F2"/>
      </x:patternFill>
    </x:fill>
    <x:fill>
      <x:patternFill patternType="solid">
        <x:fgColor rgb="FF198C9A"/>
      </x:patternFill>
    </x:fill>
  </x:fills>
  <x:borders count="6">
    <x:border/>
    <x:border>
      <x:left style="thin">
        <x:color rgb="000000"/>
      </x:left>
      <x:right style="thin">
        <x:color rgb="000000"/>
      </x:right>
      <x:top style="thin">
        <x:color rgb="000000"/>
      </x:top>
      <x:bottom style="thin">
        <x:color rgb="000000"/>
      </x:bottom>
    </x:border>
    <x:border>
      <x:left style="thin">
        <x:color rgb="000000"/>
      </x:left>
      <x:right style="thin">
        <x:color rgb="000000"/>
      </x:right>
      <x:top style="thin">
        <x:color rgb="000000"/>
      </x:top>
      <x:bottom style="thin">
        <x:color rgb="000000"/>
      </x:bottom>
    </x:border>
    <x:border>
      <x:left style="thin">
        <x:color rgb="000000"/>
      </x:left>
      <x:right style="thin">
        <x:color rgb="000000"/>
      </x:right>
      <x:top style="thin">
        <x:color rgb="000000"/>
      </x:top>
      <x:bottom style="thin">
        <x:color rgb="000000"/>
      </x:bottom>
    </x:border>
    <x:border>
      <x:left style="thin">
        <x:color rgb="000000"/>
      </x:left>
      <x:right style="thin">
        <x:color rgb="000000"/>
      </x:right>
      <x:top style="thin">
        <x:color rgb="000000"/>
      </x:top>
      <x:bottom style="thin">
        <x:color rgb="000000"/>
      </x:bottom>
    </x:border>
    <x:border>
      <x:left style="thin">
        <x:color rgb="000000"/>
      </x:left>
      <x:right style="thin">
        <x:color rgb="000000"/>
      </x:right>
      <x:top style="thin">
        <x:color rgb="000000"/>
      </x:top>
      <x:bottom style="thin">
        <x:color rgb="000000"/>
      </x:bottom>
    </x:border>
  </x:borders>
  <x:cellStyleXfs count="1">
    <x:xf/>
  </x:cellStyleXfs>
  <x:cellXfs count="9">
    <x:xf/>
    <x:xf fontId="1" fillId="0" borderId="1" xfId="0">
      <x:alignment horizontal="left" vertical="center"/>
    </x:xf>
    <x:xf fontId="2" fillId="0" borderId="2" xfId="0">
      <x:alignment horizontal="center" vertical="center"/>
    </x:xf>
    <x:xf fontId="3" fillId="0" borderId="3" xfId="0">
      <x:alignment horizontal="left" vertical="center"/>
    </x:xf>
    <x:xf fontId="4" fillId="0" borderId="4" xfId="0">
      <x:alignment horizontal="center" vertical="center"/>
    </x:xf>
    <x:xf fontId="5" fillId="2" borderId="5" xfId="0">
      <x:alignment horizontal="center" vertical="center"/>
    </x:xf>
    <x:xf numFmtId="0" fontId="6" fillId="3" borderId="0" xfId="0" applyNumberFormat="1" applyFont="1" applyFill="1" applyAlignment="1">
      <x:alignment horizontal="center" vertical="center"/>
    </x:xf>
    <x:xf numFmtId="0" fontId="7" fillId="3" borderId="0" xfId="0" applyNumberFormat="1" applyFont="1" applyFill="1" applyAlignment="1">
      <x:alignment horizontal="left" vertical="center"/>
    </x:xf>
    <x:xf numFmtId="0" fontId="8" fillId="4" borderId="0" xfId="0" applyNumberFormat="1" applyFont="1" applyFill="1" applyAlignment="1">
      <x:alignment horizontal="center" vertical="center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74979b8c1c1483b" /><Relationship Type="http://schemas.openxmlformats.org/officeDocument/2006/relationships/worksheet" Target="/xl/worksheets/sheet1.xml" Id="R263dcfd8100e4e7f" /></Relationships>
</file>

<file path=xl/worksheets/sheet1.xml><?xml version="1.0" encoding="utf-8"?>
<x:worksheet xmlns:x="http://schemas.openxmlformats.org/spreadsheetml/2006/main">
  <x:cols>
    <x:col min="1" max="1" width="41.857142857142854" customWidth="1"/>
    <x:col min="2" max="2" width="10.428571428571429" customWidth="1"/>
    <x:col min="3" max="3" width="10.428571428571429" customWidth="1"/>
    <x:col min="4" max="4" width="10.428571428571429" customWidth="1"/>
    <x:col min="5" max="5" width="10.428571428571429" customWidth="1"/>
    <x:col min="6" max="6" width="10.428571428571429" customWidth="1"/>
    <x:col min="7" max="7" width="10.428571428571429" customWidth="1"/>
    <x:col min="8" max="8" width="10.428571428571429" customWidth="1"/>
    <x:col min="9" max="9" width="10.428571428571429" customWidth="1"/>
    <x:col min="10" max="10" width="13.571428571428571" customWidth="1"/>
  </x:cols>
  <x:sheetData>
    <x:row r="1" ht="27" customHeight="1">
      <x:c r="A1" s="6" t="inlineStr">
        <x:is>
          <x:t xml:space="preserve">ПланФакт</x:t>
        </x:is>
      </x:c>
      <x:c r="B1" s="7" t="inlineStr">
        <x:is>
          <x:t xml:space="preserve">Создано с помощью сервиса ПланФакт</x:t>
        </x:is>
      </x:c>
      <x:c r="C1" s="7" t="n"/>
      <x:c r="D1" s="7" t="n"/>
      <x:c r="E1" s="7" t="n"/>
      <x:c r="F1" s="7" t="n"/>
      <x:c r="G1" s="7" t="n"/>
      <x:c r="H1" s="7" t="n"/>
      <x:c r="I1" s="8" t="inlineStr">
        <x:f>HYPERLINK("https://app.planfact.io/?from=Pf_BDR", "Перейти в сервис")</x:f>
        <x:is>
          <x:t xml:space="default">Перейти в сервис</x:t>
        </x:is>
      </x:c>
      <x:c r="J1" s="7" t="n"/>
      <x:c r="K1" s="7" t="n"/>
      <x:c r="L1" s="7" t="n"/>
      <x:c r="M1" s="7" t="n"/>
      <x:c r="N1" s="7" t="n"/>
      <x:c r="O1" s="7" t="n"/>
      <x:c r="P1" s="7" t="n"/>
      <x:c r="Q1" s="7" t="n"/>
      <x:c r="R1" s="7" t="n"/>
      <x:c r="S1" s="7" t="n"/>
      <x:c r="T1" s="7" t="n"/>
    </x:row>
    <x:row r="2" outlineLevel="0">
      <x:c s="5" t="inlineStr">
        <x:is>
          <x:t xml:space="preserve"/>
        </x:is>
      </x:c>
      <x:c s="5" t="inlineStr">
        <x:is>
          <x:t xml:space="preserve">Итого</x:t>
        </x:is>
      </x:c>
      <x:c s="5" t="inlineStr">
        <x:is>
          <x:t xml:space="preserve">июнь` 26</x:t>
        </x:is>
      </x:c>
      <x:c s="5" t="inlineStr">
        <x:is>
          <x:t xml:space="preserve">июль` 26</x:t>
        </x:is>
      </x:c>
      <x:c s="5" t="inlineStr">
        <x:is>
          <x:t xml:space="preserve">август` 26</x:t>
        </x:is>
      </x:c>
      <x:c s="5" t="inlineStr">
        <x:is>
          <x:t xml:space="preserve">сентябрь` 26</x:t>
        </x:is>
      </x:c>
      <x:c s="5" t="inlineStr">
        <x:is>
          <x:t xml:space="preserve">октябрь` 26</x:t>
        </x:is>
      </x:c>
      <x:c s="5" t="inlineStr">
        <x:is>
          <x:t xml:space="preserve">ноябрь` 26</x:t>
        </x:is>
      </x:c>
      <x:c s="5" t="inlineStr">
        <x:is>
          <x:t xml:space="preserve">декабрь` 26</x:t>
        </x:is>
      </x:c>
    </x:row>
    <x:row r="3" outlineLevel="0">
      <x:c s="5" t="inlineStr">
        <x:is>
          <x:t xml:space="preserve">ЖК "River Park"</x:t>
        </x:is>
      </x:c>
      <x:c s="5" t="inlineStr">
        <x:is>
          <x:t xml:space="preserve">план</x:t>
        </x:is>
      </x:c>
      <x:c s="5" t="inlineStr">
        <x:is>
          <x:t xml:space="preserve">план</x:t>
        </x:is>
      </x:c>
      <x:c s="5" t="inlineStr">
        <x:is>
          <x:t xml:space="preserve">план</x:t>
        </x:is>
      </x:c>
      <x:c s="5" t="inlineStr">
        <x:is>
          <x:t xml:space="preserve">план</x:t>
        </x:is>
      </x:c>
      <x:c s="5" t="inlineStr">
        <x:is>
          <x:t xml:space="preserve">план</x:t>
        </x:is>
      </x:c>
      <x:c s="5" t="inlineStr">
        <x:is>
          <x:t xml:space="preserve">план</x:t>
        </x:is>
      </x:c>
      <x:c s="5" t="inlineStr">
        <x:is>
          <x:t xml:space="preserve">план</x:t>
        </x:is>
      </x:c>
      <x:c s="5" t="inlineStr">
        <x:is>
          <x:t xml:space="preserve">план</x:t>
        </x:is>
      </x:c>
    </x:row>
    <x:row r="4" outlineLevel="0">
      <x:c s="3" t="inlineStr">
        <x:is>
          <x:t xml:space="preserve">Доходы</x:t>
        </x:is>
      </x:c>
      <x:c s="4" t="n">
        <x:v>2539080</x:v>
      </x:c>
      <x:c s="4" t="n">
        <x:v>846360</x:v>
      </x:c>
      <x:c s="4" t="n">
        <x:v>846360</x:v>
      </x:c>
      <x:c s="4" t="n">
        <x:v>846360</x:v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5" outlineLevel="1">
      <x:c s="3" t="inlineStr">
        <x:is>
          <x:t xml:space="preserve">    Нераспределенный доход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6" outlineLevel="1">
      <x:c s="3" t="inlineStr">
        <x:is>
          <x:t xml:space="preserve">    Выручка </x:t>
        </x:is>
      </x:c>
      <x:c s="4" t="n">
        <x:v>2539080</x:v>
      </x:c>
      <x:c s="4" t="n">
        <x:v>846360</x:v>
      </x:c>
      <x:c s="4" t="n">
        <x:v>846360</x:v>
      </x:c>
      <x:c s="4" t="n">
        <x:v>846360</x:v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7" outlineLevel="2">
      <x:c s="3" t="inlineStr">
        <x:is>
          <x:t xml:space="preserve">        Реализация услуг Клининг (ОД)</x:t>
        </x:is>
      </x:c>
      <x:c s="4" t="n">
        <x:v>2539080</x:v>
      </x:c>
      <x:c s="4" t="n">
        <x:v>846360</x:v>
      </x:c>
      <x:c s="4" t="n">
        <x:v>846360</x:v>
      </x:c>
      <x:c s="4" t="n">
        <x:v>846360</x:v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8" outlineLevel="2">
      <x:c s="3" t="inlineStr">
        <x:is>
          <x:t xml:space="preserve">        Реализация услуг Клининг (Доп.услуги)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9" outlineLevel="2">
      <x:c s="3" t="inlineStr">
        <x:is>
          <x:t xml:space="preserve">        Реализация услуг Клининг (снег)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10" outlineLevel="1">
      <x:c s="3" t="inlineStr">
        <x:is>
          <x:t xml:space="preserve">    Прочие доходы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11" outlineLevel="2">
      <x:c s="3" t="inlineStr">
        <x:is>
          <x:t xml:space="preserve">        Доход БЭК-ОФИС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12" outlineLevel="2">
      <x:c s="3" t="inlineStr">
        <x:is>
          <x:t xml:space="preserve">        Пополненин бэк-офис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13" outlineLevel="2">
      <x:c s="3" t="inlineStr">
        <x:is>
          <x:t xml:space="preserve">        Проценты по вкладам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14" outlineLevel="2">
      <x:c s="3" t="inlineStr">
        <x:is>
          <x:t xml:space="preserve">        Курсовая разница (+)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15" outlineLevel="0">
      <x:c s="3" t="inlineStr">
        <x:is>
          <x:t xml:space="preserve">Расходы</x:t>
        </x:is>
      </x:c>
      <x:c s="4" t="n">
        <x:v>2280109.39</x:v>
      </x:c>
      <x:c s="4" t="n">
        <x:v>775109.39</x:v>
      </x:c>
      <x:c s="4" t="n">
        <x:v>752500</x:v>
      </x:c>
      <x:c s="4" t="n">
        <x:v>752500</x:v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16" outlineLevel="1">
      <x:c s="3" t="inlineStr">
        <x:is>
          <x:t xml:space="preserve">    Нераспределенный расход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17" outlineLevel="1">
      <x:c s="3" t="inlineStr">
        <x:is>
          <x:t xml:space="preserve">    Транспортные расходы</x:t>
        </x:is>
      </x:c>
      <x:c s="4" t="n">
        <x:v>10352</x:v>
      </x:c>
      <x:c s="4" t="n">
        <x:v>10352</x:v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18" outlineLevel="1">
      <x:c s="3" t="inlineStr">
        <x:is>
          <x:t xml:space="preserve">    Переменные</x:t>
        </x:is>
      </x:c>
      <x:c s="4" t="n">
        <x:v>50717.39</x:v>
      </x:c>
      <x:c s="4" t="n">
        <x:v>30717.39</x:v>
      </x:c>
      <x:c s="4" t="n">
        <x:v>10000</x:v>
      </x:c>
      <x:c s="4" t="n">
        <x:v>10000</x:v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19" outlineLevel="2">
      <x:c s="3" t="inlineStr">
        <x:is>
          <x:t xml:space="preserve">        Услуги техниги для уборки снега (ПТ)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20" outlineLevel="2">
      <x:c s="3" t="inlineStr">
        <x:is>
          <x:t xml:space="preserve">        Услуги садовника (ПТ)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21" outlineLevel="2">
      <x:c s="3" t="inlineStr">
        <x:is>
          <x:t xml:space="preserve">        Сыпучие материалы (ПТ)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22" outlineLevel="2">
      <x:c s="3" t="inlineStr">
        <x:is>
          <x:t xml:space="preserve">        Расходные материалы и инстументы (МОП)</x:t>
        </x:is>
      </x:c>
      <x:c s="4" t="n">
        <x:v>32073.9</x:v>
      </x:c>
      <x:c s="4" t="n">
        <x:v>22073.9</x:v>
      </x:c>
      <x:c s="4" t="n">
        <x:v>5000</x:v>
      </x:c>
      <x:c s="4" t="n">
        <x:v>5000</x:v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23" outlineLevel="2">
      <x:c s="3" t="inlineStr">
        <x:is>
          <x:t xml:space="preserve">        Расходные материалы и инстументы  (ПТ)</x:t>
        </x:is>
      </x:c>
      <x:c s="4" t="n">
        <x:v>18643.49</x:v>
      </x:c>
      <x:c s="4" t="n">
        <x:v>8643.49</x:v>
      </x:c>
      <x:c s="4" t="n">
        <x:v>5000</x:v>
      </x:c>
      <x:c s="4" t="n">
        <x:v>5000</x:v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24" outlineLevel="2">
      <x:c s="3" t="inlineStr">
        <x:is>
          <x:t xml:space="preserve">        Арена оборудования (ПТ)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25" outlineLevel="2">
      <x:c s="3" t="inlineStr">
        <x:is>
          <x:t xml:space="preserve">        Арена оборудования (МОП)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26" outlineLevel="1">
      <x:c s="3" t="inlineStr">
        <x:is>
          <x:t xml:space="preserve">    Заработная плата  (МОП)</x:t>
        </x:is>
      </x:c>
      <x:c s="4" t="n">
        <x:v>820000</x:v>
      </x:c>
      <x:c s="4" t="n">
        <x:v>260000</x:v>
      </x:c>
      <x:c s="4" t="n">
        <x:v>280000</x:v>
      </x:c>
      <x:c s="4" t="n">
        <x:v>280000</x:v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27" outlineLevel="1">
      <x:c s="3" t="inlineStr">
        <x:is>
          <x:t xml:space="preserve">    Заработная плата (ПТ)</x:t>
        </x:is>
      </x:c>
      <x:c s="4" t="n">
        <x:v>810000</x:v>
      </x:c>
      <x:c s="4" t="n">
        <x:v>270000</x:v>
      </x:c>
      <x:c s="4" t="n">
        <x:v>270000</x:v>
      </x:c>
      <x:c s="4" t="n">
        <x:v>270000</x:v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28" outlineLevel="1">
      <x:c s="3" t="inlineStr">
        <x:is>
          <x:t xml:space="preserve">    Налоги с ФОТ (МОП)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29" outlineLevel="1">
      <x:c s="3" t="inlineStr">
        <x:is>
          <x:t xml:space="preserve">    Налоги с ФОТ (ПТ)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30" outlineLevel="1">
      <x:c s="3" t="inlineStr">
        <x:is>
          <x:t xml:space="preserve">    Премми  (МОП)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31" outlineLevel="1">
      <x:c s="3" t="inlineStr">
        <x:is>
          <x:t xml:space="preserve">    Премми (ПТ)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32" outlineLevel="1">
      <x:c s="3" t="inlineStr">
        <x:is>
          <x:t xml:space="preserve">    Униформа (МОП)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33" outlineLevel="1">
      <x:c s="3" t="inlineStr">
        <x:is>
          <x:t xml:space="preserve">    Униформа (ПТ)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34" outlineLevel="1">
      <x:c s="3" t="inlineStr">
        <x:is>
          <x:t xml:space="preserve">    Ремонт оборудования (МОП)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35" outlineLevel="1">
      <x:c s="3" t="inlineStr">
        <x:is>
          <x:t xml:space="preserve">    Ремонт оборудования (ПТ)</x:t>
        </x:is>
      </x:c>
      <x:c s="4" t="n">
        <x:v>8000</x:v>
      </x:c>
      <x:c s="4" t="n">
        <x:v>2000</x:v>
      </x:c>
      <x:c s="4" t="n">
        <x:v>3000</x:v>
      </x:c>
      <x:c s="4" t="n">
        <x:v>3000</x:v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36" outlineLevel="1">
      <x:c s="3" t="inlineStr">
        <x:is>
          <x:t xml:space="preserve">    Вывоз мусора</x:t>
        </x:is>
      </x:c>
      <x:c s="4" t="n">
        <x:v>7920</x:v>
      </x:c>
      <x:c s="4" t="n">
        <x:v>7920</x:v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37" outlineLevel="1">
      <x:c s="3" t="inlineStr">
        <x:is>
          <x:t xml:space="preserve">    Штрафы, пени, неустойки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38" outlineLevel="1">
      <x:c s="3" t="inlineStr">
        <x:is>
          <x:t xml:space="preserve">    Расходы к удержанию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39" outlineLevel="1">
      <x:c s="3" t="inlineStr">
        <x:is>
          <x:t xml:space="preserve">    Общехозяйственные</x:t>
        </x:is>
      </x:c>
      <x:c s="4" t="n">
        <x:v>381120</x:v>
      </x:c>
      <x:c s="4" t="n">
        <x:v>130120</x:v>
      </x:c>
      <x:c s="4" t="n">
        <x:v>125500</x:v>
      </x:c>
      <x:c s="4" t="n">
        <x:v>125500</x:v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40" outlineLevel="2">
      <x:c s="3" t="inlineStr">
        <x:is>
          <x:t xml:space="preserve">        Аутсорс (направления)</x:t>
        </x:is>
      </x:c>
      <x:c s="4" t="n">
        <x:v>12500</x:v>
      </x:c>
      <x:c s="4" t="n">
        <x:v>7500</x:v>
      </x:c>
      <x:c s="4" t="n">
        <x:v>2500</x:v>
      </x:c>
      <x:c s="4" t="n">
        <x:v>2500</x:v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41" outlineLevel="2">
      <x:c s="3" t="inlineStr">
        <x:is>
          <x:t xml:space="preserve">        Заработная плата МО АУП</x:t>
        </x:is>
      </x:c>
      <x:c s="4" t="n">
        <x:v>195000</x:v>
      </x:c>
      <x:c s="4" t="n">
        <x:v>65000</x:v>
      </x:c>
      <x:c s="4" t="n">
        <x:v>65000</x:v>
      </x:c>
      <x:c s="4" t="n">
        <x:v>65000</x:v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42" outlineLevel="2">
      <x:c s="3" t="inlineStr">
        <x:is>
          <x:t xml:space="preserve">        Инструменты: ГСМ</x:t>
        </x:is>
      </x:c>
      <x:c s="4" t="n">
        <x:v>8620</x:v>
      </x:c>
      <x:c s="4" t="n">
        <x:v>2620</x:v>
      </x:c>
      <x:c s="4" t="n">
        <x:v>3000</x:v>
      </x:c>
      <x:c s="4" t="n">
        <x:v>3000</x:v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43" outlineLevel="2">
      <x:c s="3" t="inlineStr">
        <x:is>
          <x:t xml:space="preserve">        Медосмотры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44" outlineLevel="2">
      <x:c s="3" t="inlineStr">
        <x:is>
          <x:t xml:space="preserve">        Налоги с ФОТ (ИП)</x:t>
        </x:is>
      </x:c>
      <x:c s="4" t="n">
        <x:v>159000</x:v>
      </x:c>
      <x:c s="4" t="n">
        <x:v>53000</x:v>
      </x:c>
      <x:c s="4" t="n">
        <x:v>53000</x:v>
      </x:c>
      <x:c s="4" t="n">
        <x:v>53000</x:v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45" outlineLevel="2">
      <x:c s="3" t="inlineStr">
        <x:is>
          <x:t xml:space="preserve">        Приобритение мебели, бытовой техники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46" outlineLevel="2">
      <x:c s="3" t="inlineStr">
        <x:is>
          <x:t xml:space="preserve">        Комиссия за перевод ЗП</x:t>
        </x:is>
      </x:c>
      <x:c s="4" t="n">
        <x:v>6000</x:v>
      </x:c>
      <x:c s="4" t="n">
        <x:v>2000</x:v>
      </x:c>
      <x:c s="4" t="n">
        <x:v>2000</x:v>
      </x:c>
      <x:c s="4" t="n">
        <x:v>2000</x:v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47" outlineLevel="2">
      <x:c s="3" t="inlineStr">
        <x:is>
          <x:t xml:space="preserve">        Аренда квартиры (включая коммуналку)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48" outlineLevel="1">
      <x:c s="3" t="inlineStr">
        <x:is>
          <x:t xml:space="preserve">    Расход БЭК-ОФИС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49" outlineLevel="1">
      <x:c s="3" t="inlineStr">
        <x:is>
          <x:t xml:space="preserve">    Расходы на бэк-офис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50" outlineLevel="1">
      <x:c s="3" t="inlineStr">
        <x:is>
          <x:t xml:space="preserve">    Автомобиль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51" outlineLevel="2">
      <x:c s="3" t="inlineStr">
        <x:is>
          <x:t xml:space="preserve">        Автомобиль: ГСМ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52" outlineLevel="2">
      <x:c s="3" t="inlineStr">
        <x:is>
          <x:t xml:space="preserve">        Автомобиль: страхование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53" outlineLevel="2">
      <x:c s="3" t="inlineStr">
        <x:is>
          <x:t xml:space="preserve">        Автомобиль: ТО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54" outlineLevel="1">
      <x:c s="3" t="inlineStr">
        <x:is>
          <x:t xml:space="preserve">    Офисные расходы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55" outlineLevel="2">
      <x:c s="3" t="inlineStr">
        <x:is>
          <x:t xml:space="preserve">        Аренда офиса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56" outlineLevel="2">
      <x:c s="3" t="inlineStr">
        <x:is>
          <x:t xml:space="preserve">        Канцелярия и обслуживание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57" outlineLevel="2">
      <x:c s="3" t="inlineStr">
        <x:is>
          <x:t xml:space="preserve">        Интернет и связь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58" outlineLevel="1">
      <x:c s="3" t="inlineStr">
        <x:is>
          <x:t xml:space="preserve">    Банковские услуги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59" outlineLevel="1">
      <x:c s="3" t="inlineStr">
        <x:is>
          <x:t xml:space="preserve">    Заработная плата АУП (БО)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60" outlineLevel="1">
      <x:c s="3" t="inlineStr">
        <x:is>
          <x:t xml:space="preserve">    Заработная плата бухгалтерии (БО)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61" outlineLevel="1">
      <x:c s="3" t="inlineStr">
        <x:is>
          <x:t xml:space="preserve">    Заработная плата СБ (БО)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62" outlineLevel="1">
      <x:c s="3" t="inlineStr">
        <x:is>
          <x:t xml:space="preserve">    Командировочные расходы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63" outlineLevel="2">
      <x:c s="3" t="inlineStr">
        <x:is>
          <x:t xml:space="preserve">        Командировнчеы расходы: билеты (БО)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64" outlineLevel="2">
      <x:c s="3" t="inlineStr">
        <x:is>
          <x:t xml:space="preserve">        Командировнчеы расходы: проживание (БО)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65" outlineLevel="1">
      <x:c s="3" t="inlineStr">
        <x:is>
          <x:t xml:space="preserve">    Комиссия УК ДОМ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66" outlineLevel="1">
      <x:c s="3" t="inlineStr">
        <x:is>
          <x:t xml:space="preserve">    Налоги с ФОТ (ИП)_БО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67" outlineLevel="1">
      <x:c s="3" t="inlineStr">
        <x:is>
          <x:t xml:space="preserve">    Налоги с ФОТ (НДФЛ) БО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68" outlineLevel="1">
      <x:c s="3" t="inlineStr">
        <x:is>
          <x:t xml:space="preserve">    Налоги с ФОТ (страховые взносы) БО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69" outlineLevel="1">
      <x:c s="3" t="inlineStr">
        <x:is>
          <x:t xml:space="preserve">    Нотариальные услуги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70" outlineLevel="1">
      <x:c s="3" t="inlineStr">
        <x:is>
          <x:t xml:space="preserve">    Обслуживание техники (БО)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71" outlineLevel="1">
      <x:c s="3" t="inlineStr">
        <x:is>
          <x:t xml:space="preserve">    Программное обеспечение (БО)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72" outlineLevel="2">
      <x:c s="3" t="inlineStr">
        <x:is>
          <x:t xml:space="preserve">        ПланФакт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73" outlineLevel="2">
      <x:c s="3" t="inlineStr">
        <x:is>
          <x:t xml:space="preserve">        ТБ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74" outlineLevel="2">
      <x:c s="3" t="inlineStr">
        <x:is>
          <x:t xml:space="preserve">        Контур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75" outlineLevel="2">
      <x:c s="3" t="inlineStr">
        <x:is>
          <x:t xml:space="preserve">        Platrum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76" outlineLevel="2">
      <x:c s="3" t="inlineStr">
        <x:is>
          <x:t xml:space="preserve">        Расходы на сайт (БО)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77" outlineLevel="1">
      <x:c s="3" t="inlineStr">
        <x:is>
          <x:t xml:space="preserve">    Расходы на технику до 40т (БО)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78" outlineLevel="1">
      <x:c s="3" t="inlineStr">
        <x:is>
          <x:t xml:space="preserve">    Такси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79" outlineLevel="1">
      <x:c s="3" t="inlineStr">
        <x:is>
          <x:t xml:space="preserve">    ФД Аутосрс (управление)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80" outlineLevel="1">
      <x:c s="3" t="inlineStr">
        <x:is>
          <x:t xml:space="preserve">    Копортативные мероприятия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81" outlineLevel="1">
      <x:c s="3" t="inlineStr">
        <x:is>
          <x:t xml:space="preserve">    HR (аутсорс)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82" outlineLevel="1">
      <x:c s="3" t="inlineStr">
        <x:is>
          <x:t xml:space="preserve">    Амортизация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83" outlineLevel="2">
      <x:c s="3" t="inlineStr">
        <x:is>
          <x:t xml:space="preserve">        Амортизация ОС (ПТ)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84" outlineLevel="2">
      <x:c s="3" t="inlineStr">
        <x:is>
          <x:t xml:space="preserve">        Амортизация ОС (МОП)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85" outlineLevel="1">
      <x:c s="3" t="inlineStr">
        <x:is>
          <x:t xml:space="preserve">    Проценты по кредитам и займам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86" outlineLevel="1">
      <x:c s="3" t="inlineStr">
        <x:is>
          <x:t xml:space="preserve">    Налог на прибыль</x:t>
        </x:is>
      </x:c>
      <x:c s="4" t="n">
        <x:v>192000</x:v>
      </x:c>
      <x:c s="4" t="n">
        <x:v>64000</x:v>
      </x:c>
      <x:c s="4" t="n">
        <x:v>64000</x:v>
      </x:c>
      <x:c s="4" t="n">
        <x:v>64000</x:v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87" outlineLevel="2">
      <x:c s="3" t="inlineStr">
        <x:is>
          <x:t xml:space="preserve">        Налоги УСН</x:t>
        </x:is>
      </x:c>
      <x:c s="4" t="n">
        <x:v>36000</x:v>
      </x:c>
      <x:c s="4" t="n">
        <x:v>12000</x:v>
      </x:c>
      <x:c s="4" t="n">
        <x:v>12000</x:v>
      </x:c>
      <x:c s="4" t="n">
        <x:v>12000</x:v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88" outlineLevel="2">
      <x:c s="3" t="inlineStr">
        <x:is>
          <x:t xml:space="preserve">        Налоги НДС 5%</x:t>
        </x:is>
      </x:c>
      <x:c s="4" t="n">
        <x:v>156000</x:v>
      </x:c>
      <x:c s="4" t="n">
        <x:v>52000</x:v>
      </x:c>
      <x:c s="4" t="n">
        <x:v>52000</x:v>
      </x:c>
      <x:c s="4" t="n">
        <x:v>52000</x:v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89" outlineLevel="1">
      <x:c s="3" t="inlineStr">
        <x:is>
          <x:t xml:space="preserve">    Прочие расходы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90" outlineLevel="2">
      <x:c s="3" t="inlineStr">
        <x:is>
          <x:t xml:space="preserve">        Курсовая разница (-)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91" outlineLevel="0">
      <x:c s="1" t="inlineStr">
        <x:is>
          <x:t xml:space="preserve">Чистая прибыль/убыток</x:t>
        </x:is>
      </x:c>
      <x:c s="2" t="n">
        <x:v>258970.60999999987</x:v>
      </x:c>
      <x:c s="2" t="n">
        <x:v>71250.60999999999</x:v>
      </x:c>
      <x:c s="2" t="n">
        <x:v>93860</x:v>
      </x:c>
      <x:c s="2" t="n">
        <x:v>93860</x:v>
      </x:c>
      <x:c s="2" t="inlineStr">
        <x:is>
          <x:t xml:space="preserve">-</x:t>
        </x:is>
      </x:c>
      <x:c s="2" t="inlineStr">
        <x:is>
          <x:t xml:space="preserve">-</x:t>
        </x:is>
      </x:c>
      <x:c s="2" t="inlineStr">
        <x:is>
          <x:t xml:space="preserve">-</x:t>
        </x:is>
      </x:c>
      <x:c s="2" t="inlineStr">
        <x:is>
          <x:t xml:space="preserve">-</x:t>
        </x:is>
      </x:c>
    </x:row>
    <x:row r="92" outlineLevel="0">
      <x:c s="1" t="inlineStr">
        <x:is>
          <x:t xml:space="preserve">Рентабельность, %</x:t>
        </x:is>
      </x:c>
      <x:c s="2" t="inlineStr">
        <x:is>
          <x:t xml:space="preserve">10.2%</x:t>
        </x:is>
      </x:c>
      <x:c s="2" t="inlineStr">
        <x:is>
          <x:t xml:space="preserve">8.42%</x:t>
        </x:is>
      </x:c>
      <x:c s="2" t="inlineStr">
        <x:is>
          <x:t xml:space="preserve">11.09%</x:t>
        </x:is>
      </x:c>
      <x:c s="2" t="inlineStr">
        <x:is>
          <x:t xml:space="preserve">11.09%</x:t>
        </x:is>
      </x:c>
      <x:c s="2" t="inlineStr">
        <x:is>
          <x:t xml:space="preserve">-</x:t>
        </x:is>
      </x:c>
      <x:c s="2" t="inlineStr">
        <x:is>
          <x:t xml:space="preserve">-</x:t>
        </x:is>
      </x:c>
      <x:c s="2" t="inlineStr">
        <x:is>
          <x:t xml:space="preserve">-</x:t>
        </x:is>
      </x:c>
      <x:c s="2" t="inlineStr">
        <x:is>
          <x:t xml:space="preserve">-</x:t>
        </x:is>
      </x:c>
    </x:row>
  </x:sheetData>
  <x:mergeCells>
    <x:mergeCell ref="B2:B2"/>
    <x:mergeCell ref="C2:C2"/>
    <x:mergeCell ref="D2:D2"/>
    <x:mergeCell ref="E2:E2"/>
    <x:mergeCell ref="F2:F2"/>
    <x:mergeCell ref="G2:G2"/>
    <x:mergeCell ref="H2:H2"/>
    <x:mergeCell ref="I2:I2"/>
    <x:mergeCell ref="J2:J2"/>
    <x:mergeCell ref="K2:K2"/>
    <x:mergeCell ref="L2:L2"/>
    <x:mergeCell ref="M2:M2"/>
    <x:mergeCell ref="I1:J1"/>
  </x:mergeCells>
</x:worksheet>
</file>