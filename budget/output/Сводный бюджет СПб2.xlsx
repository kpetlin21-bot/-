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ый бюджет СПб 2" sheetId="1" state="visible" r:id="rId1"/>
    <sheet name="Астрид" sheetId="2" state="visible" r:id="rId2"/>
    <sheet name="Курортный" sheetId="3" state="visible" r:id="rId3"/>
    <sheet name="Новое Колпино" sheetId="4" state="visible" r:id="rId4"/>
    <sheet name="Таллинский пар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40A7BA"/>
      <sz val="15"/>
    </font>
    <font>
      <name val="Arial"/>
      <b val="1"/>
      <color rgb="FF595959"/>
      <sz val="12"/>
    </font>
    <font>
      <b val="1"/>
      <color rgb="FFFFFFFF"/>
      <sz val="13"/>
    </font>
    <font/>
    <font>
      <color rgb="00000000"/>
      <sz val="12"/>
    </font>
    <font>
      <b val="1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198C9A"/>
      </patternFill>
    </fill>
    <fill>
      <patternFill patternType="solid">
        <fgColor rgb="00ebf5fa"/>
      </patternFill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4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Сводный бюджет СПб 2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>
        <f>SUM(B5,B6)</f>
        <v/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 t="inlineStr">
        <is>
          <t>-</t>
        </is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>
        <f>SUM(C5,D5,E5,F5)</f>
        <v/>
      </c>
      <c r="C5" s="7">
        <f>SUM('Астрид'!C5,'Курортный'!C5,'Новое Колпино'!C5,'Таллинский парк'!C5)</f>
        <v/>
      </c>
      <c r="D5" s="7">
        <f>SUM('Астрид'!D5,'Курортный'!D5,'Новое Колпино'!D5,'Таллинский парк'!D5)</f>
        <v/>
      </c>
      <c r="E5" s="7">
        <f>SUM('Астрид'!E5,'Курортный'!E5,'Новое Колпино'!E5,'Таллинский парк'!E5)</f>
        <v/>
      </c>
      <c r="F5" s="7">
        <f>SUM('Астрид'!F5,'Курортный'!F5,'Новое Колпино'!F5,'Таллинский парк'!F5)</f>
        <v/>
      </c>
      <c r="G5" s="7">
        <f>SUM('Астрид'!G5,'Курортный'!G5,'Новое Колпино'!G5,'Таллинский парк'!G5)</f>
        <v/>
      </c>
      <c r="H5" s="7" t="inlineStr">
        <is>
          <t>-</t>
        </is>
      </c>
      <c r="I5" s="7">
        <f>SUM('Астрид'!I5,'Курортный'!I5,'Новое Колпино'!I5,'Таллинский парк'!I5)</f>
        <v/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>
        <f>SUM(B7,B8,B9)</f>
        <v/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 t="inlineStr">
        <is>
          <t>-</t>
        </is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>
        <f>SUM(C7,D7,E7,F7)</f>
        <v/>
      </c>
      <c r="C7" s="7">
        <f>SUM('Астрид'!C7,'Курортный'!C7,'Новое Колпино'!C7,'Таллинский парк'!C7)</f>
        <v/>
      </c>
      <c r="D7" s="7">
        <f>SUM('Астрид'!D7,'Курортный'!D7,'Новое Колпино'!D7,'Таллинский парк'!D7)</f>
        <v/>
      </c>
      <c r="E7" s="7">
        <f>SUM('Астрид'!E7,'Курортный'!E7,'Новое Колпино'!E7,'Таллинский парк'!E7)</f>
        <v/>
      </c>
      <c r="F7" s="7">
        <f>SUM('Астрид'!F7,'Курортный'!F7,'Новое Колпино'!F7,'Таллинский парк'!F7)</f>
        <v/>
      </c>
      <c r="G7" s="7">
        <f>SUM('Астрид'!G7,'Курортный'!G7,'Новое Колпино'!G7,'Таллинский парк'!G7)</f>
        <v/>
      </c>
      <c r="H7" s="7" t="inlineStr">
        <is>
          <t>-</t>
        </is>
      </c>
      <c r="I7" s="7">
        <f>SUM('Астрид'!I7,'Курортный'!I7,'Новое Колпино'!I7,'Таллинский парк'!I7)</f>
        <v/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>
        <f>SUM(C8,D8,E8,F8)</f>
        <v/>
      </c>
      <c r="C8" s="7">
        <f>SUM('Астрид'!C8,'Курортный'!C8,'Новое Колпино'!C8,'Таллинский парк'!C8)</f>
        <v/>
      </c>
      <c r="D8" s="7">
        <f>SUM('Астрид'!D8,'Курортный'!D8,'Новое Колпино'!D8,'Таллинский парк'!D8)</f>
        <v/>
      </c>
      <c r="E8" s="7">
        <f>SUM('Астрид'!E8,'Курортный'!E8,'Новое Колпино'!E8,'Таллинский парк'!E8)</f>
        <v/>
      </c>
      <c r="F8" s="7">
        <f>SUM('Астрид'!F8,'Курортный'!F8,'Новое Колпино'!F8,'Таллинский парк'!F8)</f>
        <v/>
      </c>
      <c r="G8" s="7">
        <f>SUM('Астрид'!G8,'Курортный'!G8,'Новое Колпино'!G8,'Таллинский парк'!G8)</f>
        <v/>
      </c>
      <c r="H8" s="7" t="inlineStr">
        <is>
          <t>-</t>
        </is>
      </c>
      <c r="I8" s="7">
        <f>SUM('Астрид'!I8,'Курортный'!I8,'Новое Колпино'!I8,'Таллинский парк'!I8)</f>
        <v/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>
        <f>SUM(C9,D9,E9,F9)</f>
        <v/>
      </c>
      <c r="C9" s="7">
        <f>SUM('Астрид'!C9,'Курортный'!C9,'Новое Колпино'!C9,'Таллинский парк'!C9)</f>
        <v/>
      </c>
      <c r="D9" s="7">
        <f>SUM('Астрид'!D9,'Курортный'!D9,'Новое Колпино'!D9,'Таллинский парк'!D9)</f>
        <v/>
      </c>
      <c r="E9" s="7">
        <f>SUM('Астрид'!E9,'Курортный'!E9,'Новое Колпино'!E9,'Таллинский парк'!E9)</f>
        <v/>
      </c>
      <c r="F9" s="7">
        <f>SUM('Астрид'!F9,'Курортный'!F9,'Новое Колпино'!F9,'Таллинский парк'!F9)</f>
        <v/>
      </c>
      <c r="G9" s="7">
        <f>SUM('Астрид'!G9,'Курортный'!G9,'Новое Колпино'!G9,'Таллинский парк'!G9)</f>
        <v/>
      </c>
      <c r="H9" s="7" t="inlineStr">
        <is>
          <t>-</t>
        </is>
      </c>
      <c r="I9" s="7">
        <f>SUM('Астрид'!I9,'Курортный'!I9,'Новое Колпино'!I9,'Таллинский парк'!I9)</f>
        <v/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>
        <f>SUM(B11,B12,B13,B21,B22,B23,B24,B25,B26,B27,B28,B29,B30,B31,B32,B33,B34)</f>
        <v/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 t="inlineStr">
        <is>
          <t>-</t>
        </is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>
        <f>SUM(C11,D11,E11,F11)</f>
        <v/>
      </c>
      <c r="C11" s="7">
        <f>SUM('Астрид'!C11,'Курортный'!C11,'Новое Колпино'!C11,'Таллинский парк'!C11)</f>
        <v/>
      </c>
      <c r="D11" s="7">
        <f>SUM('Астрид'!D11,'Курортный'!D11,'Новое Колпино'!D11,'Таллинский парк'!D11)</f>
        <v/>
      </c>
      <c r="E11" s="7">
        <f>SUM('Астрид'!E11,'Курортный'!E11,'Новое Колпино'!E11,'Таллинский парк'!E11)</f>
        <v/>
      </c>
      <c r="F11" s="7">
        <f>SUM('Астрид'!F11,'Курортный'!F11,'Новое Колпино'!F11,'Таллинский парк'!F11)</f>
        <v/>
      </c>
      <c r="G11" s="7">
        <f>SUM('Астрид'!G11,'Курортный'!G11,'Новое Колпино'!G11,'Таллинский парк'!G11)</f>
        <v/>
      </c>
      <c r="H11" s="7" t="inlineStr">
        <is>
          <t>-</t>
        </is>
      </c>
      <c r="I11" s="7">
        <f>SUM('Астрид'!I11,'Курортный'!I11,'Новое Колпино'!I11,'Таллинский парк'!I11)</f>
        <v/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>
        <f>SUM(C12,D12,E12,F12)</f>
        <v/>
      </c>
      <c r="C12" s="7">
        <f>SUM('Астрид'!C12,'Курортный'!C12,'Новое Колпино'!C12,'Таллинский парк'!C12)</f>
        <v/>
      </c>
      <c r="D12" s="7">
        <f>SUM('Астрид'!D12,'Курортный'!D12,'Новое Колпино'!D12,'Таллинский парк'!D12)</f>
        <v/>
      </c>
      <c r="E12" s="7">
        <f>SUM('Астрид'!E12,'Курортный'!E12,'Новое Колпино'!E12,'Таллинский парк'!E12)</f>
        <v/>
      </c>
      <c r="F12" s="7">
        <f>SUM('Астрид'!F12,'Курортный'!F12,'Новое Колпино'!F12,'Таллинский парк'!F12)</f>
        <v/>
      </c>
      <c r="G12" s="7">
        <f>SUM('Астрид'!G12,'Курортный'!G12,'Новое Колпино'!G12,'Таллинский парк'!G12)</f>
        <v/>
      </c>
      <c r="H12" s="7" t="inlineStr">
        <is>
          <t>-</t>
        </is>
      </c>
      <c r="I12" s="7">
        <f>SUM('Астрид'!I12,'Курортный'!I12,'Новое Колпино'!I12,'Таллинский парк'!I12)</f>
        <v/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>
        <f>SUM(B14,B15,B16,B17,B18,B19,B20)</f>
        <v/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 t="inlineStr">
        <is>
          <t>-</t>
        </is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>
        <f>SUM(C14,D14,E14,F14)</f>
        <v/>
      </c>
      <c r="C14" s="7">
        <f>SUM('Астрид'!C14,'Курортный'!C14,'Новое Колпино'!C14,'Таллинский парк'!C14)</f>
        <v/>
      </c>
      <c r="D14" s="7">
        <f>SUM('Астрид'!D14,'Курортный'!D14,'Новое Колпино'!D14,'Таллинский парк'!D14)</f>
        <v/>
      </c>
      <c r="E14" s="7">
        <f>SUM('Астрид'!E14,'Курортный'!E14,'Новое Колпино'!E14,'Таллинский парк'!E14)</f>
        <v/>
      </c>
      <c r="F14" s="7">
        <f>SUM('Астрид'!F14,'Курортный'!F14,'Новое Колпино'!F14,'Таллинский парк'!F14)</f>
        <v/>
      </c>
      <c r="G14" s="7">
        <f>SUM('Астрид'!G14,'Курортный'!G14,'Новое Колпино'!G14,'Таллинский парк'!G14)</f>
        <v/>
      </c>
      <c r="H14" s="7" t="inlineStr">
        <is>
          <t>-</t>
        </is>
      </c>
      <c r="I14" s="7">
        <f>SUM('Астрид'!I14,'Курортный'!I14,'Новое Колпино'!I14,'Таллинский парк'!I14)</f>
        <v/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>
        <f>SUM(C15,D15,E15,F15)</f>
        <v/>
      </c>
      <c r="C15" s="7">
        <f>SUM('Астрид'!C15,'Курортный'!C15,'Новое Колпино'!C15,'Таллинский парк'!C15)</f>
        <v/>
      </c>
      <c r="D15" s="7">
        <f>SUM('Астрид'!D15,'Курортный'!D15,'Новое Колпино'!D15,'Таллинский парк'!D15)</f>
        <v/>
      </c>
      <c r="E15" s="7">
        <f>SUM('Астрид'!E15,'Курортный'!E15,'Новое Колпино'!E15,'Таллинский парк'!E15)</f>
        <v/>
      </c>
      <c r="F15" s="7">
        <f>SUM('Астрид'!F15,'Курортный'!F15,'Новое Колпино'!F15,'Таллинский парк'!F15)</f>
        <v/>
      </c>
      <c r="G15" s="7">
        <f>SUM('Астрид'!G15,'Курортный'!G15,'Новое Колпино'!G15,'Таллинский парк'!G15)</f>
        <v/>
      </c>
      <c r="H15" s="7" t="inlineStr">
        <is>
          <t>-</t>
        </is>
      </c>
      <c r="I15" s="7">
        <f>SUM('Астрид'!I15,'Курортный'!I15,'Новое Колпино'!I15,'Таллинский парк'!I15)</f>
        <v/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>
        <f>SUM(C16,D16,E16,F16)</f>
        <v/>
      </c>
      <c r="C16" s="7">
        <f>SUM('Астрид'!C16,'Курортный'!C16,'Новое Колпино'!C16,'Таллинский парк'!C16)</f>
        <v/>
      </c>
      <c r="D16" s="7">
        <f>SUM('Астрид'!D16,'Курортный'!D16,'Новое Колпино'!D16,'Таллинский парк'!D16)</f>
        <v/>
      </c>
      <c r="E16" s="7">
        <f>SUM('Астрид'!E16,'Курортный'!E16,'Новое Колпино'!E16,'Таллинский парк'!E16)</f>
        <v/>
      </c>
      <c r="F16" s="7">
        <f>SUM('Астрид'!F16,'Курортный'!F16,'Новое Колпино'!F16,'Таллинский парк'!F16)</f>
        <v/>
      </c>
      <c r="G16" s="7">
        <f>SUM('Астрид'!G16,'Курортный'!G16,'Новое Колпино'!G16,'Таллинский парк'!G16)</f>
        <v/>
      </c>
      <c r="H16" s="7" t="inlineStr">
        <is>
          <t>-</t>
        </is>
      </c>
      <c r="I16" s="7">
        <f>SUM('Астрид'!I16,'Курортный'!I16,'Новое Колпино'!I16,'Таллинский парк'!I16)</f>
        <v/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>
        <f>SUM(C17,D17,E17,F17)</f>
        <v/>
      </c>
      <c r="C17" s="7">
        <f>SUM('Астрид'!C17,'Курортный'!C17,'Новое Колпино'!C17,'Таллинский парк'!C17)</f>
        <v/>
      </c>
      <c r="D17" s="7">
        <f>SUM('Астрид'!D17,'Курортный'!D17,'Новое Колпино'!D17,'Таллинский парк'!D17)</f>
        <v/>
      </c>
      <c r="E17" s="7">
        <f>SUM('Астрид'!E17,'Курортный'!E17,'Новое Колпино'!E17,'Таллинский парк'!E17)</f>
        <v/>
      </c>
      <c r="F17" s="7">
        <f>SUM('Астрид'!F17,'Курортный'!F17,'Новое Колпино'!F17,'Таллинский парк'!F17)</f>
        <v/>
      </c>
      <c r="G17" s="7">
        <f>SUM('Астрид'!G17,'Курортный'!G17,'Новое Колпино'!G17,'Таллинский парк'!G17)</f>
        <v/>
      </c>
      <c r="H17" s="7" t="inlineStr">
        <is>
          <t>-</t>
        </is>
      </c>
      <c r="I17" s="7">
        <f>SUM('Астрид'!I17,'Курортный'!I17,'Новое Колпино'!I17,'Таллинский парк'!I17)</f>
        <v/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>
        <f>SUM(C18,D18,E18,F18)</f>
        <v/>
      </c>
      <c r="C18" s="7">
        <f>SUM('Астрид'!C18,'Курортный'!C18,'Новое Колпино'!C18,'Таллинский парк'!C18)</f>
        <v/>
      </c>
      <c r="D18" s="7">
        <f>SUM('Астрид'!D18,'Курортный'!D18,'Новое Колпино'!D18,'Таллинский парк'!D18)</f>
        <v/>
      </c>
      <c r="E18" s="7">
        <f>SUM('Астрид'!E18,'Курортный'!E18,'Новое Колпино'!E18,'Таллинский парк'!E18)</f>
        <v/>
      </c>
      <c r="F18" s="7">
        <f>SUM('Астрид'!F18,'Курортный'!F18,'Новое Колпино'!F18,'Таллинский парк'!F18)</f>
        <v/>
      </c>
      <c r="G18" s="7">
        <f>SUM('Астрид'!G18,'Курортный'!G18,'Новое Колпино'!G18,'Таллинский парк'!G18)</f>
        <v/>
      </c>
      <c r="H18" s="7" t="inlineStr">
        <is>
          <t>-</t>
        </is>
      </c>
      <c r="I18" s="7">
        <f>SUM('Астрид'!I18,'Курортный'!I18,'Новое Колпино'!I18,'Таллинский парк'!I18)</f>
        <v/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>
        <f>SUM(C19,D19,E19,F19)</f>
        <v/>
      </c>
      <c r="C19" s="7">
        <f>SUM('Астрид'!C19,'Курортный'!C19,'Новое Колпино'!C19,'Таллинский парк'!C19)</f>
        <v/>
      </c>
      <c r="D19" s="7">
        <f>SUM('Астрид'!D19,'Курортный'!D19,'Новое Колпино'!D19,'Таллинский парк'!D19)</f>
        <v/>
      </c>
      <c r="E19" s="7">
        <f>SUM('Астрид'!E19,'Курортный'!E19,'Новое Колпино'!E19,'Таллинский парк'!E19)</f>
        <v/>
      </c>
      <c r="F19" s="7">
        <f>SUM('Астрид'!F19,'Курортный'!F19,'Новое Колпино'!F19,'Таллинский парк'!F19)</f>
        <v/>
      </c>
      <c r="G19" s="7">
        <f>SUM('Астрид'!G19,'Курортный'!G19,'Новое Колпино'!G19,'Таллинский парк'!G19)</f>
        <v/>
      </c>
      <c r="H19" s="7" t="inlineStr">
        <is>
          <t>-</t>
        </is>
      </c>
      <c r="I19" s="7">
        <f>SUM('Астрид'!I19,'Курортный'!I19,'Новое Колпино'!I19,'Таллинский парк'!I19)</f>
        <v/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>
        <f>SUM(C20,D20,E20,F20)</f>
        <v/>
      </c>
      <c r="C20" s="7">
        <f>SUM('Астрид'!C20,'Курортный'!C20,'Новое Колпино'!C20,'Таллинский парк'!C20)</f>
        <v/>
      </c>
      <c r="D20" s="7">
        <f>SUM('Астрид'!D20,'Курортный'!D20,'Новое Колпино'!D20,'Таллинский парк'!D20)</f>
        <v/>
      </c>
      <c r="E20" s="7">
        <f>SUM('Астрид'!E20,'Курортный'!E20,'Новое Колпино'!E20,'Таллинский парк'!E20)</f>
        <v/>
      </c>
      <c r="F20" s="7">
        <f>SUM('Астрид'!F20,'Курортный'!F20,'Новое Колпино'!F20,'Таллинский парк'!F20)</f>
        <v/>
      </c>
      <c r="G20" s="7">
        <f>SUM('Астрид'!G20,'Курортный'!G20,'Новое Колпино'!G20,'Таллинский парк'!G20)</f>
        <v/>
      </c>
      <c r="H20" s="7" t="inlineStr">
        <is>
          <t>-</t>
        </is>
      </c>
      <c r="I20" s="7">
        <f>SUM('Астрид'!I20,'Курортный'!I20,'Новое Колпино'!I20,'Таллинский парк'!I20)</f>
        <v/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>
        <f>SUM(C21,D21,E21,F21)</f>
        <v/>
      </c>
      <c r="C21" s="7">
        <f>SUM('Астрид'!C21,'Курортный'!C21,'Новое Колпино'!C21,'Таллинский парк'!C21)</f>
        <v/>
      </c>
      <c r="D21" s="7">
        <f>SUM('Астрид'!D21,'Курортный'!D21,'Новое Колпино'!D21,'Таллинский парк'!D21)</f>
        <v/>
      </c>
      <c r="E21" s="7">
        <f>SUM('Астрид'!E21,'Курортный'!E21,'Новое Колпино'!E21,'Таллинский парк'!E21)</f>
        <v/>
      </c>
      <c r="F21" s="7">
        <f>SUM('Астрид'!F21,'Курортный'!F21,'Новое Колпино'!F21,'Таллинский парк'!F21)</f>
        <v/>
      </c>
      <c r="G21" s="7">
        <f>SUM('Астрид'!G21,'Курортный'!G21,'Новое Колпино'!G21,'Таллинский парк'!G21)</f>
        <v/>
      </c>
      <c r="H21" s="7" t="inlineStr">
        <is>
          <t>-</t>
        </is>
      </c>
      <c r="I21" s="7">
        <f>SUM('Астрид'!I21,'Курортный'!I21,'Новое Колпино'!I21,'Таллинский парк'!I21)</f>
        <v/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>
        <f>SUM(C22,D22,E22,F22)</f>
        <v/>
      </c>
      <c r="C22" s="7">
        <f>SUM('Астрид'!C22,'Курортный'!C22,'Новое Колпино'!C22,'Таллинский парк'!C22)</f>
        <v/>
      </c>
      <c r="D22" s="7">
        <f>SUM('Астрид'!D22,'Курортный'!D22,'Новое Колпино'!D22,'Таллинский парк'!D22)</f>
        <v/>
      </c>
      <c r="E22" s="7">
        <f>SUM('Астрид'!E22,'Курортный'!E22,'Новое Колпино'!E22,'Таллинский парк'!E22)</f>
        <v/>
      </c>
      <c r="F22" s="7">
        <f>SUM('Астрид'!F22,'Курортный'!F22,'Новое Колпино'!F22,'Таллинский парк'!F22)</f>
        <v/>
      </c>
      <c r="G22" s="7">
        <f>SUM('Астрид'!G22,'Курортный'!G22,'Новое Колпино'!G22,'Таллинский парк'!G22)</f>
        <v/>
      </c>
      <c r="H22" s="7" t="inlineStr">
        <is>
          <t>-</t>
        </is>
      </c>
      <c r="I22" s="7">
        <f>SUM('Астрид'!I22,'Курортный'!I22,'Новое Колпино'!I22,'Таллинский парк'!I22)</f>
        <v/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>
        <f>SUM(C23,D23,E23,F23)</f>
        <v/>
      </c>
      <c r="C23" s="7">
        <f>SUM('Астрид'!C23,'Курортный'!C23,'Новое Колпино'!C23,'Таллинский парк'!C23)</f>
        <v/>
      </c>
      <c r="D23" s="7">
        <f>SUM('Астрид'!D23,'Курортный'!D23,'Новое Колпино'!D23,'Таллинский парк'!D23)</f>
        <v/>
      </c>
      <c r="E23" s="7">
        <f>SUM('Астрид'!E23,'Курортный'!E23,'Новое Колпино'!E23,'Таллинский парк'!E23)</f>
        <v/>
      </c>
      <c r="F23" s="7">
        <f>SUM('Астрид'!F23,'Курортный'!F23,'Новое Колпино'!F23,'Таллинский парк'!F23)</f>
        <v/>
      </c>
      <c r="G23" s="7">
        <f>SUM('Астрид'!G23,'Курортный'!G23,'Новое Колпино'!G23,'Таллинский парк'!G23)</f>
        <v/>
      </c>
      <c r="H23" s="7" t="inlineStr">
        <is>
          <t>-</t>
        </is>
      </c>
      <c r="I23" s="7">
        <f>SUM('Астрид'!I23,'Курортный'!I23,'Новое Колпино'!I23,'Таллинский парк'!I23)</f>
        <v/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>
        <f>SUM(C24,D24,E24,F24)</f>
        <v/>
      </c>
      <c r="C24" s="7">
        <f>SUM('Астрид'!C24,'Курортный'!C24,'Новое Колпино'!C24,'Таллинский парк'!C24)</f>
        <v/>
      </c>
      <c r="D24" s="7">
        <f>SUM('Астрид'!D24,'Курортный'!D24,'Новое Колпино'!D24,'Таллинский парк'!D24)</f>
        <v/>
      </c>
      <c r="E24" s="7">
        <f>SUM('Астрид'!E24,'Курортный'!E24,'Новое Колпино'!E24,'Таллинский парк'!E24)</f>
        <v/>
      </c>
      <c r="F24" s="7">
        <f>SUM('Астрид'!F24,'Курортный'!F24,'Новое Колпино'!F24,'Таллинский парк'!F24)</f>
        <v/>
      </c>
      <c r="G24" s="7">
        <f>SUM('Астрид'!G24,'Курортный'!G24,'Новое Колпино'!G24,'Таллинский парк'!G24)</f>
        <v/>
      </c>
      <c r="H24" s="7" t="inlineStr">
        <is>
          <t>-</t>
        </is>
      </c>
      <c r="I24" s="7">
        <f>SUM('Астрид'!I24,'Курортный'!I24,'Новое Колпино'!I24,'Таллинский парк'!I24)</f>
        <v/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>
        <f>SUM(C25,D25,E25,F25)</f>
        <v/>
      </c>
      <c r="C25" s="7">
        <f>SUM('Астрид'!C25,'Курортный'!C25,'Новое Колпино'!C25,'Таллинский парк'!C25)</f>
        <v/>
      </c>
      <c r="D25" s="7">
        <f>SUM('Астрид'!D25,'Курортный'!D25,'Новое Колпино'!D25,'Таллинский парк'!D25)</f>
        <v/>
      </c>
      <c r="E25" s="7">
        <f>SUM('Астрид'!E25,'Курортный'!E25,'Новое Колпино'!E25,'Таллинский парк'!E25)</f>
        <v/>
      </c>
      <c r="F25" s="7">
        <f>SUM('Астрид'!F25,'Курортный'!F25,'Новое Колпино'!F25,'Таллинский парк'!F25)</f>
        <v/>
      </c>
      <c r="G25" s="7">
        <f>SUM('Астрид'!G25,'Курортный'!G25,'Новое Колпино'!G25,'Таллинский парк'!G25)</f>
        <v/>
      </c>
      <c r="H25" s="7" t="inlineStr">
        <is>
          <t>-</t>
        </is>
      </c>
      <c r="I25" s="7">
        <f>SUM('Астрид'!I25,'Курортный'!I25,'Новое Колпино'!I25,'Таллинский парк'!I25)</f>
        <v/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>
        <f>SUM(C26,D26,E26,F26)</f>
        <v/>
      </c>
      <c r="C26" s="7">
        <f>SUM('Астрид'!C26,'Курортный'!C26,'Новое Колпино'!C26,'Таллинский парк'!C26)</f>
        <v/>
      </c>
      <c r="D26" s="7">
        <f>SUM('Астрид'!D26,'Курортный'!D26,'Новое Колпино'!D26,'Таллинский парк'!D26)</f>
        <v/>
      </c>
      <c r="E26" s="7">
        <f>SUM('Астрид'!E26,'Курортный'!E26,'Новое Колпино'!E26,'Таллинский парк'!E26)</f>
        <v/>
      </c>
      <c r="F26" s="7">
        <f>SUM('Астрид'!F26,'Курортный'!F26,'Новое Колпино'!F26,'Таллинский парк'!F26)</f>
        <v/>
      </c>
      <c r="G26" s="7">
        <f>SUM('Астрид'!G26,'Курортный'!G26,'Новое Колпино'!G26,'Таллинский парк'!G26)</f>
        <v/>
      </c>
      <c r="H26" s="7" t="inlineStr">
        <is>
          <t>-</t>
        </is>
      </c>
      <c r="I26" s="7">
        <f>SUM('Астрид'!I26,'Курортный'!I26,'Новое Колпино'!I26,'Таллинский парк'!I26)</f>
        <v/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>
        <f>SUM(C27,D27,E27,F27)</f>
        <v/>
      </c>
      <c r="C27" s="7">
        <f>SUM('Астрид'!C27,'Курортный'!C27,'Новое Колпино'!C27,'Таллинский парк'!C27)</f>
        <v/>
      </c>
      <c r="D27" s="7">
        <f>SUM('Астрид'!D27,'Курортный'!D27,'Новое Колпино'!D27,'Таллинский парк'!D27)</f>
        <v/>
      </c>
      <c r="E27" s="7">
        <f>SUM('Астрид'!E27,'Курортный'!E27,'Новое Колпино'!E27,'Таллинский парк'!E27)</f>
        <v/>
      </c>
      <c r="F27" s="7">
        <f>SUM('Астрид'!F27,'Курортный'!F27,'Новое Колпино'!F27,'Таллинский парк'!F27)</f>
        <v/>
      </c>
      <c r="G27" s="7">
        <f>SUM('Астрид'!G27,'Курортный'!G27,'Новое Колпино'!G27,'Таллинский парк'!G27)</f>
        <v/>
      </c>
      <c r="H27" s="7" t="inlineStr">
        <is>
          <t>-</t>
        </is>
      </c>
      <c r="I27" s="7">
        <f>SUM('Астрид'!I27,'Курортный'!I27,'Новое Колпино'!I27,'Таллинский парк'!I27)</f>
        <v/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>
        <f>SUM(C28,D28,E28,F28)</f>
        <v/>
      </c>
      <c r="C28" s="7">
        <f>SUM('Астрид'!C28,'Курортный'!C28,'Новое Колпино'!C28,'Таллинский парк'!C28)</f>
        <v/>
      </c>
      <c r="D28" s="7">
        <f>SUM('Астрид'!D28,'Курортный'!D28,'Новое Колпино'!D28,'Таллинский парк'!D28)</f>
        <v/>
      </c>
      <c r="E28" s="7">
        <f>SUM('Астрид'!E28,'Курортный'!E28,'Новое Колпино'!E28,'Таллинский парк'!E28)</f>
        <v/>
      </c>
      <c r="F28" s="7">
        <f>SUM('Астрид'!F28,'Курортный'!F28,'Новое Колпино'!F28,'Таллинский парк'!F28)</f>
        <v/>
      </c>
      <c r="G28" s="7">
        <f>SUM('Астрид'!G28,'Курортный'!G28,'Новое Колпино'!G28,'Таллинский парк'!G28)</f>
        <v/>
      </c>
      <c r="H28" s="7" t="inlineStr">
        <is>
          <t>-</t>
        </is>
      </c>
      <c r="I28" s="7">
        <f>SUM('Астрид'!I28,'Курортный'!I28,'Новое Колпино'!I28,'Таллинский парк'!I28)</f>
        <v/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>
        <f>SUM(C29,D29,E29,F29)</f>
        <v/>
      </c>
      <c r="C29" s="7">
        <f>SUM('Астрид'!C29,'Курортный'!C29,'Новое Колпино'!C29,'Таллинский парк'!C29)</f>
        <v/>
      </c>
      <c r="D29" s="7">
        <f>SUM('Астрид'!D29,'Курортный'!D29,'Новое Колпино'!D29,'Таллинский парк'!D29)</f>
        <v/>
      </c>
      <c r="E29" s="7">
        <f>SUM('Астрид'!E29,'Курортный'!E29,'Новое Колпино'!E29,'Таллинский парк'!E29)</f>
        <v/>
      </c>
      <c r="F29" s="7">
        <f>SUM('Астрид'!F29,'Курортный'!F29,'Новое Колпино'!F29,'Таллинский парк'!F29)</f>
        <v/>
      </c>
      <c r="G29" s="7">
        <f>SUM('Астрид'!G29,'Курортный'!G29,'Новое Колпино'!G29,'Таллинский парк'!G29)</f>
        <v/>
      </c>
      <c r="H29" s="7" t="inlineStr">
        <is>
          <t>-</t>
        </is>
      </c>
      <c r="I29" s="7">
        <f>SUM('Астрид'!I29,'Курортный'!I29,'Новое Колпино'!I29,'Таллинский парк'!I29)</f>
        <v/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>
        <f>SUM(C30,D30,E30,F30)</f>
        <v/>
      </c>
      <c r="C30" s="7">
        <f>SUM('Астрид'!C30,'Курортный'!C30,'Новое Колпино'!C30,'Таллинский парк'!C30)</f>
        <v/>
      </c>
      <c r="D30" s="7">
        <f>SUM('Астрид'!D30,'Курортный'!D30,'Новое Колпино'!D30,'Таллинский парк'!D30)</f>
        <v/>
      </c>
      <c r="E30" s="7">
        <f>SUM('Астрид'!E30,'Курортный'!E30,'Новое Колпино'!E30,'Таллинский парк'!E30)</f>
        <v/>
      </c>
      <c r="F30" s="7">
        <f>SUM('Астрид'!F30,'Курортный'!F30,'Новое Колпино'!F30,'Таллинский парк'!F30)</f>
        <v/>
      </c>
      <c r="G30" s="7">
        <f>SUM('Астрид'!G30,'Курортный'!G30,'Новое Колпино'!G30,'Таллинский парк'!G30)</f>
        <v/>
      </c>
      <c r="H30" s="7" t="inlineStr">
        <is>
          <t>-</t>
        </is>
      </c>
      <c r="I30" s="7">
        <f>SUM('Астрид'!I30,'Курортный'!I30,'Новое Колпино'!I30,'Таллинский парк'!I30)</f>
        <v/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>
        <f>SUM(C31,D31,E31,F31)</f>
        <v/>
      </c>
      <c r="C31" s="7">
        <f>SUM('Астрид'!C31,'Курортный'!C31,'Новое Колпино'!C31,'Таллинский парк'!C31)</f>
        <v/>
      </c>
      <c r="D31" s="7">
        <f>SUM('Астрид'!D31,'Курортный'!D31,'Новое Колпино'!D31,'Таллинский парк'!D31)</f>
        <v/>
      </c>
      <c r="E31" s="7">
        <f>SUM('Астрид'!E31,'Курортный'!E31,'Новое Колпино'!E31,'Таллинский парк'!E31)</f>
        <v/>
      </c>
      <c r="F31" s="7">
        <f>SUM('Астрид'!F31,'Курортный'!F31,'Новое Колпино'!F31,'Таллинский парк'!F31)</f>
        <v/>
      </c>
      <c r="G31" s="7">
        <f>SUM('Астрид'!G31,'Курортный'!G31,'Новое Колпино'!G31,'Таллинский парк'!G31)</f>
        <v/>
      </c>
      <c r="H31" s="7" t="inlineStr">
        <is>
          <t>-</t>
        </is>
      </c>
      <c r="I31" s="7">
        <f>SUM('Астрид'!I31,'Курортный'!I31,'Новое Колпино'!I31,'Таллинский парк'!I31)</f>
        <v/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>
        <f>SUM(C32,D32,E32,F32)</f>
        <v/>
      </c>
      <c r="C32" s="7">
        <f>SUM('Астрид'!C32,'Курортный'!C32,'Новое Колпино'!C32,'Таллинский парк'!C32)</f>
        <v/>
      </c>
      <c r="D32" s="7">
        <f>SUM('Астрид'!D32,'Курортный'!D32,'Новое Колпино'!D32,'Таллинский парк'!D32)</f>
        <v/>
      </c>
      <c r="E32" s="7">
        <f>SUM('Астрид'!E32,'Курортный'!E32,'Новое Колпино'!E32,'Таллинский парк'!E32)</f>
        <v/>
      </c>
      <c r="F32" s="7">
        <f>SUM('Астрид'!F32,'Курортный'!F32,'Новое Колпино'!F32,'Таллинский парк'!F32)</f>
        <v/>
      </c>
      <c r="G32" s="7">
        <f>SUM('Астрид'!G32,'Курортный'!G32,'Новое Колпино'!G32,'Таллинский парк'!G32)</f>
        <v/>
      </c>
      <c r="H32" s="7" t="inlineStr">
        <is>
          <t>-</t>
        </is>
      </c>
      <c r="I32" s="7">
        <f>SUM('Астрид'!I32,'Курортный'!I32,'Новое Колпино'!I32,'Таллинский парк'!I32)</f>
        <v/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>
        <f>SUM(C33,D33,E33,F33)</f>
        <v/>
      </c>
      <c r="C33" s="7">
        <f>SUM('Астрид'!C33,'Курортный'!C33,'Новое Колпино'!C33,'Таллинский парк'!C33)</f>
        <v/>
      </c>
      <c r="D33" s="7">
        <f>SUM('Астрид'!D33,'Курортный'!D33,'Новое Колпино'!D33,'Таллинский парк'!D33)</f>
        <v/>
      </c>
      <c r="E33" s="7">
        <f>SUM('Астрид'!E33,'Курортный'!E33,'Новое Колпино'!E33,'Таллинский парк'!E33)</f>
        <v/>
      </c>
      <c r="F33" s="7">
        <f>SUM('Астрид'!F33,'Курортный'!F33,'Новое Колпино'!F33,'Таллинский парк'!F33)</f>
        <v/>
      </c>
      <c r="G33" s="7">
        <f>SUM('Астрид'!G33,'Курортный'!G33,'Новое Колпино'!G33,'Таллинский парк'!G33)</f>
        <v/>
      </c>
      <c r="H33" s="7" t="inlineStr">
        <is>
          <t>-</t>
        </is>
      </c>
      <c r="I33" s="7">
        <f>SUM('Астрид'!I33,'Курортный'!I33,'Новое Колпино'!I33,'Таллинский парк'!I33)</f>
        <v/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>
        <f>SUM(B35,B36,B37,B38,B39,B40,B41,B42)</f>
        <v/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 t="inlineStr">
        <is>
          <t>-</t>
        </is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>
        <f>SUM(C35,D35,E35,F35)</f>
        <v/>
      </c>
      <c r="C35" s="7">
        <f>SUM('Астрид'!C35,'Курортный'!C35,'Новое Колпино'!C35,'Таллинский парк'!C35)</f>
        <v/>
      </c>
      <c r="D35" s="7">
        <f>SUM('Астрид'!D35,'Курортный'!D35,'Новое Колпино'!D35,'Таллинский парк'!D35)</f>
        <v/>
      </c>
      <c r="E35" s="7">
        <f>SUM('Астрид'!E35,'Курортный'!E35,'Новое Колпино'!E35,'Таллинский парк'!E35)</f>
        <v/>
      </c>
      <c r="F35" s="7">
        <f>SUM('Астрид'!F35,'Курортный'!F35,'Новое Колпино'!F35,'Таллинский парк'!F35)</f>
        <v/>
      </c>
      <c r="G35" s="7">
        <f>SUM('Астрид'!G35,'Курортный'!G35,'Новое Колпино'!G35,'Таллинский парк'!G35)</f>
        <v/>
      </c>
      <c r="H35" s="7" t="inlineStr">
        <is>
          <t>-</t>
        </is>
      </c>
      <c r="I35" s="7">
        <f>SUM('Астрид'!I35,'Курортный'!I35,'Новое Колпино'!I35,'Таллинский парк'!I35)</f>
        <v/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>
        <f>SUM(C36,D36,E36,F36)</f>
        <v/>
      </c>
      <c r="C36" s="7">
        <f>SUM('Астрид'!C36,'Курортный'!C36,'Новое Колпино'!C36,'Таллинский парк'!C36)</f>
        <v/>
      </c>
      <c r="D36" s="7">
        <f>SUM('Астрид'!D36,'Курортный'!D36,'Новое Колпино'!D36,'Таллинский парк'!D36)</f>
        <v/>
      </c>
      <c r="E36" s="7">
        <f>SUM('Астрид'!E36,'Курортный'!E36,'Новое Колпино'!E36,'Таллинский парк'!E36)</f>
        <v/>
      </c>
      <c r="F36" s="7">
        <f>SUM('Астрид'!F36,'Курортный'!F36,'Новое Колпино'!F36,'Таллинский парк'!F36)</f>
        <v/>
      </c>
      <c r="G36" s="7">
        <f>SUM('Астрид'!G36,'Курортный'!G36,'Новое Колпино'!G36,'Таллинский парк'!G36)</f>
        <v/>
      </c>
      <c r="H36" s="7" t="inlineStr">
        <is>
          <t>-</t>
        </is>
      </c>
      <c r="I36" s="7">
        <f>SUM('Астрид'!I36,'Курортный'!I36,'Новое Колпино'!I36,'Таллинский парк'!I36)</f>
        <v/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>
        <f>SUM(C37,D37,E37,F37)</f>
        <v/>
      </c>
      <c r="C37" s="7">
        <f>SUM('Астрид'!C37,'Курортный'!C37,'Новое Колпино'!C37,'Таллинский парк'!C37)</f>
        <v/>
      </c>
      <c r="D37" s="7">
        <f>SUM('Астрид'!D37,'Курортный'!D37,'Новое Колпино'!D37,'Таллинский парк'!D37)</f>
        <v/>
      </c>
      <c r="E37" s="7">
        <f>SUM('Астрид'!E37,'Курортный'!E37,'Новое Колпино'!E37,'Таллинский парк'!E37)</f>
        <v/>
      </c>
      <c r="F37" s="7">
        <f>SUM('Астрид'!F37,'Курортный'!F37,'Новое Колпино'!F37,'Таллинский парк'!F37)</f>
        <v/>
      </c>
      <c r="G37" s="7">
        <f>SUM('Астрид'!G37,'Курортный'!G37,'Новое Колпино'!G37,'Таллинский парк'!G37)</f>
        <v/>
      </c>
      <c r="H37" s="7" t="inlineStr">
        <is>
          <t>-</t>
        </is>
      </c>
      <c r="I37" s="7">
        <f>SUM('Астрид'!I37,'Курортный'!I37,'Новое Колпино'!I37,'Таллинский парк'!I37)</f>
        <v/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>
        <f>SUM(C38,D38,E38,F38)</f>
        <v/>
      </c>
      <c r="C38" s="7">
        <f>SUM('Астрид'!C38,'Курортный'!C38,'Новое Колпино'!C38,'Таллинский парк'!C38)</f>
        <v/>
      </c>
      <c r="D38" s="7">
        <f>SUM('Астрид'!D38,'Курортный'!D38,'Новое Колпино'!D38,'Таллинский парк'!D38)</f>
        <v/>
      </c>
      <c r="E38" s="7">
        <f>SUM('Астрид'!E38,'Курортный'!E38,'Новое Колпино'!E38,'Таллинский парк'!E38)</f>
        <v/>
      </c>
      <c r="F38" s="7">
        <f>SUM('Астрид'!F38,'Курортный'!F38,'Новое Колпино'!F38,'Таллинский парк'!F38)</f>
        <v/>
      </c>
      <c r="G38" s="7">
        <f>SUM('Астрид'!G38,'Курортный'!G38,'Новое Колпино'!G38,'Таллинский парк'!G38)</f>
        <v/>
      </c>
      <c r="H38" s="7" t="inlineStr">
        <is>
          <t>-</t>
        </is>
      </c>
      <c r="I38" s="7">
        <f>SUM('Астрид'!I38,'Курортный'!I38,'Новое Колпино'!I38,'Таллинский парк'!I38)</f>
        <v/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>
        <f>SUM(C39,D39,E39,F39)</f>
        <v/>
      </c>
      <c r="C39" s="7">
        <f>SUM('Астрид'!C39,'Курортный'!C39,'Новое Колпино'!C39,'Таллинский парк'!C39)</f>
        <v/>
      </c>
      <c r="D39" s="7">
        <f>SUM('Астрид'!D39,'Курортный'!D39,'Новое Колпино'!D39,'Таллинский парк'!D39)</f>
        <v/>
      </c>
      <c r="E39" s="7">
        <f>SUM('Астрид'!E39,'Курортный'!E39,'Новое Колпино'!E39,'Таллинский парк'!E39)</f>
        <v/>
      </c>
      <c r="F39" s="7">
        <f>SUM('Астрид'!F39,'Курортный'!F39,'Новое Колпино'!F39,'Таллинский парк'!F39)</f>
        <v/>
      </c>
      <c r="G39" s="7">
        <f>SUM('Астрид'!G39,'Курортный'!G39,'Новое Колпино'!G39,'Таллинский парк'!G39)</f>
        <v/>
      </c>
      <c r="H39" s="7" t="inlineStr">
        <is>
          <t>-</t>
        </is>
      </c>
      <c r="I39" s="7">
        <f>SUM('Астрид'!I39,'Курортный'!I39,'Новое Колпино'!I39,'Таллинский парк'!I39)</f>
        <v/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>
        <f>SUM(C40,D40,E40,F40)</f>
        <v/>
      </c>
      <c r="C40" s="7">
        <f>SUM('Астрид'!C40,'Курортный'!C40,'Новое Колпино'!C40,'Таллинский парк'!C40)</f>
        <v/>
      </c>
      <c r="D40" s="7">
        <f>SUM('Астрид'!D40,'Курортный'!D40,'Новое Колпино'!D40,'Таллинский парк'!D40)</f>
        <v/>
      </c>
      <c r="E40" s="7">
        <f>SUM('Астрид'!E40,'Курортный'!E40,'Новое Колпино'!E40,'Таллинский парк'!E40)</f>
        <v/>
      </c>
      <c r="F40" s="7">
        <f>SUM('Астрид'!F40,'Курортный'!F40,'Новое Колпино'!F40,'Таллинский парк'!F40)</f>
        <v/>
      </c>
      <c r="G40" s="7">
        <f>SUM('Астрид'!G40,'Курортный'!G40,'Новое Колпино'!G40,'Таллинский парк'!G40)</f>
        <v/>
      </c>
      <c r="H40" s="7" t="inlineStr">
        <is>
          <t>-</t>
        </is>
      </c>
      <c r="I40" s="7">
        <f>SUM('Астрид'!I40,'Курортный'!I40,'Новое Колпино'!I40,'Таллинский парк'!I40)</f>
        <v/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>
        <f>SUM(C41,D41,E41,F41)</f>
        <v/>
      </c>
      <c r="C41" s="7">
        <f>SUM('Астрид'!C41,'Курортный'!C41,'Новое Колпино'!C41,'Таллинский парк'!C41)</f>
        <v/>
      </c>
      <c r="D41" s="7">
        <f>SUM('Астрид'!D41,'Курортный'!D41,'Новое Колпино'!D41,'Таллинский парк'!D41)</f>
        <v/>
      </c>
      <c r="E41" s="7">
        <f>SUM('Астрид'!E41,'Курортный'!E41,'Новое Колпино'!E41,'Таллинский парк'!E41)</f>
        <v/>
      </c>
      <c r="F41" s="7">
        <f>SUM('Астрид'!F41,'Курортный'!F41,'Новое Колпино'!F41,'Таллинский парк'!F41)</f>
        <v/>
      </c>
      <c r="G41" s="7">
        <f>SUM('Астрид'!G41,'Курортный'!G41,'Новое Колпино'!G41,'Таллинский парк'!G41)</f>
        <v/>
      </c>
      <c r="H41" s="7" t="inlineStr">
        <is>
          <t>-</t>
        </is>
      </c>
      <c r="I41" s="7">
        <f>SUM('Астрид'!I41,'Курортный'!I41,'Новое Колпино'!I41,'Таллинский парк'!I41)</f>
        <v/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>
        <f>SUM(C42,D42,E42,F42)</f>
        <v/>
      </c>
      <c r="C42" s="7">
        <f>SUM('Астрид'!C42,'Курортный'!C42,'Новое Колпино'!C42,'Таллинский парк'!C42)</f>
        <v/>
      </c>
      <c r="D42" s="7">
        <f>SUM('Астрид'!D42,'Курортный'!D42,'Новое Колпино'!D42,'Таллинский парк'!D42)</f>
        <v/>
      </c>
      <c r="E42" s="7">
        <f>SUM('Астрид'!E42,'Курортный'!E42,'Новое Колпино'!E42,'Таллинский парк'!E42)</f>
        <v/>
      </c>
      <c r="F42" s="7">
        <f>SUM('Астрид'!F42,'Курортный'!F42,'Новое Колпино'!F42,'Таллинский парк'!F42)</f>
        <v/>
      </c>
      <c r="G42" s="7">
        <f>SUM('Астрид'!G42,'Курортный'!G42,'Новое Колпино'!G42,'Таллинский парк'!G42)</f>
        <v/>
      </c>
      <c r="H42" s="7" t="inlineStr">
        <is>
          <t>-</t>
        </is>
      </c>
      <c r="I42" s="7">
        <f>SUM('Астрид'!I42,'Курортный'!I42,'Новое Колпино'!I42,'Таллинский парк'!I42)</f>
        <v/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>
        <f>B4-B10</f>
        <v/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 t="inlineStr">
        <is>
          <t>-</t>
        </is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>
        <f>IFERROR(IF(B4=0,"-",B43/B4),"-")</f>
        <v/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 t="inlineStr">
        <is>
          <t>-</t>
        </is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>
        <f>SUM(B46,B47,B48,B52,B56,B57,B58,B59,B60,B63,B64,B65,B66,B67,B68,B69,B70,B71,B72,B73,B74,B75,B76,B77,B78,B79)</f>
        <v/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 t="inlineStr">
        <is>
          <t>-</t>
        </is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>
        <f>SUM(C46,D46,E46,F46)</f>
        <v/>
      </c>
      <c r="C46" s="7">
        <f>SUM('Астрид'!C46,'Курортный'!C46,'Новое Колпино'!C46,'Таллинский парк'!C46)</f>
        <v/>
      </c>
      <c r="D46" s="7">
        <f>SUM('Астрид'!D46,'Курортный'!D46,'Новое Колпино'!D46,'Таллинский парк'!D46)</f>
        <v/>
      </c>
      <c r="E46" s="7">
        <f>SUM('Астрид'!E46,'Курортный'!E46,'Новое Колпино'!E46,'Таллинский парк'!E46)</f>
        <v/>
      </c>
      <c r="F46" s="7">
        <f>SUM('Астрид'!F46,'Курортный'!F46,'Новое Колпино'!F46,'Таллинский парк'!F46)</f>
        <v/>
      </c>
      <c r="G46" s="7">
        <f>SUM('Астрид'!G46,'Курортный'!G46,'Новое Колпино'!G46,'Таллинский парк'!G46)</f>
        <v/>
      </c>
      <c r="H46" s="7" t="inlineStr">
        <is>
          <t>-</t>
        </is>
      </c>
      <c r="I46" s="7">
        <f>SUM('Астрид'!I46,'Курортный'!I46,'Новое Колпино'!I46,'Таллинский парк'!I46)</f>
        <v/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>
        <f>SUM(C47,D47,E47,F47)</f>
        <v/>
      </c>
      <c r="C47" s="7">
        <f>SUM('Астрид'!C47,'Курортный'!C47,'Новое Колпино'!C47,'Таллинский парк'!C47)</f>
        <v/>
      </c>
      <c r="D47" s="7">
        <f>SUM('Астрид'!D47,'Курортный'!D47,'Новое Колпино'!D47,'Таллинский парк'!D47)</f>
        <v/>
      </c>
      <c r="E47" s="7">
        <f>SUM('Астрид'!E47,'Курортный'!E47,'Новое Колпино'!E47,'Таллинский парк'!E47)</f>
        <v/>
      </c>
      <c r="F47" s="7">
        <f>SUM('Астрид'!F47,'Курортный'!F47,'Новое Колпино'!F47,'Таллинский парк'!F47)</f>
        <v/>
      </c>
      <c r="G47" s="7">
        <f>SUM('Астрид'!G47,'Курортный'!G47,'Новое Колпино'!G47,'Таллинский парк'!G47)</f>
        <v/>
      </c>
      <c r="H47" s="7" t="inlineStr">
        <is>
          <t>-</t>
        </is>
      </c>
      <c r="I47" s="7">
        <f>SUM('Астрид'!I47,'Курортный'!I47,'Новое Колпино'!I47,'Таллинский парк'!I47)</f>
        <v/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>
        <f>SUM(B49,B50,B51)</f>
        <v/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 t="inlineStr">
        <is>
          <t>-</t>
        </is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>
        <f>SUM(C49,D49,E49,F49)</f>
        <v/>
      </c>
      <c r="C49" s="7">
        <f>SUM('Астрид'!C49,'Курортный'!C49,'Новое Колпино'!C49,'Таллинский парк'!C49)</f>
        <v/>
      </c>
      <c r="D49" s="7">
        <f>SUM('Астрид'!D49,'Курортный'!D49,'Новое Колпино'!D49,'Таллинский парк'!D49)</f>
        <v/>
      </c>
      <c r="E49" s="7">
        <f>SUM('Астрид'!E49,'Курортный'!E49,'Новое Колпино'!E49,'Таллинский парк'!E49)</f>
        <v/>
      </c>
      <c r="F49" s="7">
        <f>SUM('Астрид'!F49,'Курортный'!F49,'Новое Колпино'!F49,'Таллинский парк'!F49)</f>
        <v/>
      </c>
      <c r="G49" s="7">
        <f>SUM('Астрид'!G49,'Курортный'!G49,'Новое Колпино'!G49,'Таллинский парк'!G49)</f>
        <v/>
      </c>
      <c r="H49" s="7" t="inlineStr">
        <is>
          <t>-</t>
        </is>
      </c>
      <c r="I49" s="7">
        <f>SUM('Астрид'!I49,'Курортный'!I49,'Новое Колпино'!I49,'Таллинский парк'!I49)</f>
        <v/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>
        <f>SUM(C50,D50,E50,F50)</f>
        <v/>
      </c>
      <c r="C50" s="7">
        <f>SUM('Астрид'!C50,'Курортный'!C50,'Новое Колпино'!C50,'Таллинский парк'!C50)</f>
        <v/>
      </c>
      <c r="D50" s="7">
        <f>SUM('Астрид'!D50,'Курортный'!D50,'Новое Колпино'!D50,'Таллинский парк'!D50)</f>
        <v/>
      </c>
      <c r="E50" s="7">
        <f>SUM('Астрид'!E50,'Курортный'!E50,'Новое Колпино'!E50,'Таллинский парк'!E50)</f>
        <v/>
      </c>
      <c r="F50" s="7">
        <f>SUM('Астрид'!F50,'Курортный'!F50,'Новое Колпино'!F50,'Таллинский парк'!F50)</f>
        <v/>
      </c>
      <c r="G50" s="7">
        <f>SUM('Астрид'!G50,'Курортный'!G50,'Новое Колпино'!G50,'Таллинский парк'!G50)</f>
        <v/>
      </c>
      <c r="H50" s="7" t="inlineStr">
        <is>
          <t>-</t>
        </is>
      </c>
      <c r="I50" s="7">
        <f>SUM('Астрид'!I50,'Курортный'!I50,'Новое Колпино'!I50,'Таллинский парк'!I50)</f>
        <v/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>
        <f>SUM(C51,D51,E51,F51)</f>
        <v/>
      </c>
      <c r="C51" s="7">
        <f>SUM('Астрид'!C51,'Курортный'!C51,'Новое Колпино'!C51,'Таллинский парк'!C51)</f>
        <v/>
      </c>
      <c r="D51" s="7">
        <f>SUM('Астрид'!D51,'Курортный'!D51,'Новое Колпино'!D51,'Таллинский парк'!D51)</f>
        <v/>
      </c>
      <c r="E51" s="7">
        <f>SUM('Астрид'!E51,'Курортный'!E51,'Новое Колпино'!E51,'Таллинский парк'!E51)</f>
        <v/>
      </c>
      <c r="F51" s="7">
        <f>SUM('Астрид'!F51,'Курортный'!F51,'Новое Колпино'!F51,'Таллинский парк'!F51)</f>
        <v/>
      </c>
      <c r="G51" s="7">
        <f>SUM('Астрид'!G51,'Курортный'!G51,'Новое Колпино'!G51,'Таллинский парк'!G51)</f>
        <v/>
      </c>
      <c r="H51" s="7" t="inlineStr">
        <is>
          <t>-</t>
        </is>
      </c>
      <c r="I51" s="7">
        <f>SUM('Астрид'!I51,'Курортный'!I51,'Новое Колпино'!I51,'Таллинский парк'!I51)</f>
        <v/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>
        <f>SUM(B53,B54,B55)</f>
        <v/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 t="inlineStr">
        <is>
          <t>-</t>
        </is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>
        <f>SUM(C53,D53,E53,F53)</f>
        <v/>
      </c>
      <c r="C53" s="7">
        <f>SUM('Астрид'!C53,'Курортный'!C53,'Новое Колпино'!C53,'Таллинский парк'!C53)</f>
        <v/>
      </c>
      <c r="D53" s="7">
        <f>SUM('Астрид'!D53,'Курортный'!D53,'Новое Колпино'!D53,'Таллинский парк'!D53)</f>
        <v/>
      </c>
      <c r="E53" s="7">
        <f>SUM('Астрид'!E53,'Курортный'!E53,'Новое Колпино'!E53,'Таллинский парк'!E53)</f>
        <v/>
      </c>
      <c r="F53" s="7">
        <f>SUM('Астрид'!F53,'Курортный'!F53,'Новое Колпино'!F53,'Таллинский парк'!F53)</f>
        <v/>
      </c>
      <c r="G53" s="7">
        <f>SUM('Астрид'!G53,'Курортный'!G53,'Новое Колпино'!G53,'Таллинский парк'!G53)</f>
        <v/>
      </c>
      <c r="H53" s="7" t="inlineStr">
        <is>
          <t>-</t>
        </is>
      </c>
      <c r="I53" s="7">
        <f>SUM('Астрид'!I53,'Курортный'!I53,'Новое Колпино'!I53,'Таллинский парк'!I53)</f>
        <v/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>
        <f>SUM(C54,D54,E54,F54)</f>
        <v/>
      </c>
      <c r="C54" s="7">
        <f>SUM('Астрид'!C54,'Курортный'!C54,'Новое Колпино'!C54,'Таллинский парк'!C54)</f>
        <v/>
      </c>
      <c r="D54" s="7">
        <f>SUM('Астрид'!D54,'Курортный'!D54,'Новое Колпино'!D54,'Таллинский парк'!D54)</f>
        <v/>
      </c>
      <c r="E54" s="7">
        <f>SUM('Астрид'!E54,'Курортный'!E54,'Новое Колпино'!E54,'Таллинский парк'!E54)</f>
        <v/>
      </c>
      <c r="F54" s="7">
        <f>SUM('Астрид'!F54,'Курортный'!F54,'Новое Колпино'!F54,'Таллинский парк'!F54)</f>
        <v/>
      </c>
      <c r="G54" s="7">
        <f>SUM('Астрид'!G54,'Курортный'!G54,'Новое Колпино'!G54,'Таллинский парк'!G54)</f>
        <v/>
      </c>
      <c r="H54" s="7" t="inlineStr">
        <is>
          <t>-</t>
        </is>
      </c>
      <c r="I54" s="7">
        <f>SUM('Астрид'!I54,'Курортный'!I54,'Новое Колпино'!I54,'Таллинский парк'!I54)</f>
        <v/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>
        <f>SUM(C55,D55,E55,F55)</f>
        <v/>
      </c>
      <c r="C55" s="7">
        <f>SUM('Астрид'!C55,'Курортный'!C55,'Новое Колпино'!C55,'Таллинский парк'!C55)</f>
        <v/>
      </c>
      <c r="D55" s="7">
        <f>SUM('Астрид'!D55,'Курортный'!D55,'Новое Колпино'!D55,'Таллинский парк'!D55)</f>
        <v/>
      </c>
      <c r="E55" s="7">
        <f>SUM('Астрид'!E55,'Курортный'!E55,'Новое Колпино'!E55,'Таллинский парк'!E55)</f>
        <v/>
      </c>
      <c r="F55" s="7">
        <f>SUM('Астрид'!F55,'Курортный'!F55,'Новое Колпино'!F55,'Таллинский парк'!F55)</f>
        <v/>
      </c>
      <c r="G55" s="7">
        <f>SUM('Астрид'!G55,'Курортный'!G55,'Новое Колпино'!G55,'Таллинский парк'!G55)</f>
        <v/>
      </c>
      <c r="H55" s="7" t="inlineStr">
        <is>
          <t>-</t>
        </is>
      </c>
      <c r="I55" s="7">
        <f>SUM('Астрид'!I55,'Курортный'!I55,'Новое Колпино'!I55,'Таллинский парк'!I55)</f>
        <v/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>
        <f>SUM(C56,D56,E56,F56)</f>
        <v/>
      </c>
      <c r="C56" s="7">
        <f>SUM('Астрид'!C56,'Курортный'!C56,'Новое Колпино'!C56,'Таллинский парк'!C56)</f>
        <v/>
      </c>
      <c r="D56" s="7">
        <f>SUM('Астрид'!D56,'Курортный'!D56,'Новое Колпино'!D56,'Таллинский парк'!D56)</f>
        <v/>
      </c>
      <c r="E56" s="7">
        <f>SUM('Астрид'!E56,'Курортный'!E56,'Новое Колпино'!E56,'Таллинский парк'!E56)</f>
        <v/>
      </c>
      <c r="F56" s="7">
        <f>SUM('Астрид'!F56,'Курортный'!F56,'Новое Колпино'!F56,'Таллинский парк'!F56)</f>
        <v/>
      </c>
      <c r="G56" s="7">
        <f>SUM('Астрид'!G56,'Курортный'!G56,'Новое Колпино'!G56,'Таллинский парк'!G56)</f>
        <v/>
      </c>
      <c r="H56" s="7" t="inlineStr">
        <is>
          <t>-</t>
        </is>
      </c>
      <c r="I56" s="7">
        <f>SUM('Астрид'!I56,'Курортный'!I56,'Новое Колпино'!I56,'Таллинский парк'!I56)</f>
        <v/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>
        <f>SUM(C57,D57,E57,F57)</f>
        <v/>
      </c>
      <c r="C57" s="7">
        <f>SUM('Астрид'!C57,'Курортный'!C57,'Новое Колпино'!C57,'Таллинский парк'!C57)</f>
        <v/>
      </c>
      <c r="D57" s="7">
        <f>SUM('Астрид'!D57,'Курортный'!D57,'Новое Колпино'!D57,'Таллинский парк'!D57)</f>
        <v/>
      </c>
      <c r="E57" s="7">
        <f>SUM('Астрид'!E57,'Курортный'!E57,'Новое Колпино'!E57,'Таллинский парк'!E57)</f>
        <v/>
      </c>
      <c r="F57" s="7">
        <f>SUM('Астрид'!F57,'Курортный'!F57,'Новое Колпино'!F57,'Таллинский парк'!F57)</f>
        <v/>
      </c>
      <c r="G57" s="7">
        <f>SUM('Астрид'!G57,'Курортный'!G57,'Новое Колпино'!G57,'Таллинский парк'!G57)</f>
        <v/>
      </c>
      <c r="H57" s="7" t="inlineStr">
        <is>
          <t>-</t>
        </is>
      </c>
      <c r="I57" s="7">
        <f>SUM('Астрид'!I57,'Курортный'!I57,'Новое Колпино'!I57,'Таллинский парк'!I57)</f>
        <v/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>
        <f>SUM(C58,D58,E58,F58)</f>
        <v/>
      </c>
      <c r="C58" s="7">
        <f>SUM('Астрид'!C58,'Курортный'!C58,'Новое Колпино'!C58,'Таллинский парк'!C58)</f>
        <v/>
      </c>
      <c r="D58" s="7">
        <f>SUM('Астрид'!D58,'Курортный'!D58,'Новое Колпино'!D58,'Таллинский парк'!D58)</f>
        <v/>
      </c>
      <c r="E58" s="7">
        <f>SUM('Астрид'!E58,'Курортный'!E58,'Новое Колпино'!E58,'Таллинский парк'!E58)</f>
        <v/>
      </c>
      <c r="F58" s="7">
        <f>SUM('Астрид'!F58,'Курортный'!F58,'Новое Колпино'!F58,'Таллинский парк'!F58)</f>
        <v/>
      </c>
      <c r="G58" s="7">
        <f>SUM('Астрид'!G58,'Курортный'!G58,'Новое Колпино'!G58,'Таллинский парк'!G58)</f>
        <v/>
      </c>
      <c r="H58" s="7" t="inlineStr">
        <is>
          <t>-</t>
        </is>
      </c>
      <c r="I58" s="7">
        <f>SUM('Астрид'!I58,'Курортный'!I58,'Новое Колпино'!I58,'Таллинский парк'!I58)</f>
        <v/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>
        <f>SUM(C59,D59,E59,F59)</f>
        <v/>
      </c>
      <c r="C59" s="7">
        <f>SUM('Астрид'!C59,'Курортный'!C59,'Новое Колпино'!C59,'Таллинский парк'!C59)</f>
        <v/>
      </c>
      <c r="D59" s="7">
        <f>SUM('Астрид'!D59,'Курортный'!D59,'Новое Колпино'!D59,'Таллинский парк'!D59)</f>
        <v/>
      </c>
      <c r="E59" s="7">
        <f>SUM('Астрид'!E59,'Курортный'!E59,'Новое Колпино'!E59,'Таллинский парк'!E59)</f>
        <v/>
      </c>
      <c r="F59" s="7">
        <f>SUM('Астрид'!F59,'Курортный'!F59,'Новое Колпино'!F59,'Таллинский парк'!F59)</f>
        <v/>
      </c>
      <c r="G59" s="7">
        <f>SUM('Астрид'!G59,'Курортный'!G59,'Новое Колпино'!G59,'Таллинский парк'!G59)</f>
        <v/>
      </c>
      <c r="H59" s="7" t="inlineStr">
        <is>
          <t>-</t>
        </is>
      </c>
      <c r="I59" s="7">
        <f>SUM('Астрид'!I59,'Курортный'!I59,'Новое Колпино'!I59,'Таллинский парк'!I59)</f>
        <v/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>
        <f>SUM(B61,B62)</f>
        <v/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 t="inlineStr">
        <is>
          <t>-</t>
        </is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>
        <f>SUM(C61,D61,E61,F61)</f>
        <v/>
      </c>
      <c r="C61" s="7">
        <f>SUM('Астрид'!C61,'Курортный'!C61,'Новое Колпино'!C61,'Таллинский парк'!C61)</f>
        <v/>
      </c>
      <c r="D61" s="7">
        <f>SUM('Астрид'!D61,'Курортный'!D61,'Новое Колпино'!D61,'Таллинский парк'!D61)</f>
        <v/>
      </c>
      <c r="E61" s="7">
        <f>SUM('Астрид'!E61,'Курортный'!E61,'Новое Колпино'!E61,'Таллинский парк'!E61)</f>
        <v/>
      </c>
      <c r="F61" s="7">
        <f>SUM('Астрид'!F61,'Курортный'!F61,'Новое Колпино'!F61,'Таллинский парк'!F61)</f>
        <v/>
      </c>
      <c r="G61" s="7">
        <f>SUM('Астрид'!G61,'Курортный'!G61,'Новое Колпино'!G61,'Таллинский парк'!G61)</f>
        <v/>
      </c>
      <c r="H61" s="7" t="inlineStr">
        <is>
          <t>-</t>
        </is>
      </c>
      <c r="I61" s="7">
        <f>SUM('Астрид'!I61,'Курортный'!I61,'Новое Колпино'!I61,'Таллинский парк'!I61)</f>
        <v/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>
        <f>SUM(C62,D62,E62,F62)</f>
        <v/>
      </c>
      <c r="C62" s="7">
        <f>SUM('Астрид'!C62,'Курортный'!C62,'Новое Колпино'!C62,'Таллинский парк'!C62)</f>
        <v/>
      </c>
      <c r="D62" s="7">
        <f>SUM('Астрид'!D62,'Курортный'!D62,'Новое Колпино'!D62,'Таллинский парк'!D62)</f>
        <v/>
      </c>
      <c r="E62" s="7">
        <f>SUM('Астрид'!E62,'Курортный'!E62,'Новое Колпино'!E62,'Таллинский парк'!E62)</f>
        <v/>
      </c>
      <c r="F62" s="7">
        <f>SUM('Астрид'!F62,'Курортный'!F62,'Новое Колпино'!F62,'Таллинский парк'!F62)</f>
        <v/>
      </c>
      <c r="G62" s="7">
        <f>SUM('Астрид'!G62,'Курортный'!G62,'Новое Колпино'!G62,'Таллинский парк'!G62)</f>
        <v/>
      </c>
      <c r="H62" s="7" t="inlineStr">
        <is>
          <t>-</t>
        </is>
      </c>
      <c r="I62" s="7">
        <f>SUM('Астрид'!I62,'Курортный'!I62,'Новое Колпино'!I62,'Таллинский парк'!I62)</f>
        <v/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>
        <f>SUM(C63,D63,E63,F63)</f>
        <v/>
      </c>
      <c r="C63" s="7">
        <f>SUM('Астрид'!C63,'Курортный'!C63,'Новое Колпино'!C63,'Таллинский парк'!C63)</f>
        <v/>
      </c>
      <c r="D63" s="7">
        <f>SUM('Астрид'!D63,'Курортный'!D63,'Новое Колпино'!D63,'Таллинский парк'!D63)</f>
        <v/>
      </c>
      <c r="E63" s="7">
        <f>SUM('Астрид'!E63,'Курортный'!E63,'Новое Колпино'!E63,'Таллинский парк'!E63)</f>
        <v/>
      </c>
      <c r="F63" s="7">
        <f>SUM('Астрид'!F63,'Курортный'!F63,'Новое Колпино'!F63,'Таллинский парк'!F63)</f>
        <v/>
      </c>
      <c r="G63" s="7">
        <f>SUM('Астрид'!G63,'Курортный'!G63,'Новое Колпино'!G63,'Таллинский парк'!G63)</f>
        <v/>
      </c>
      <c r="H63" s="7" t="inlineStr">
        <is>
          <t>-</t>
        </is>
      </c>
      <c r="I63" s="7">
        <f>SUM('Астрид'!I63,'Курортный'!I63,'Новое Колпино'!I63,'Таллинский парк'!I63)</f>
        <v/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>
        <f>SUM(C64,D64,E64,F64)</f>
        <v/>
      </c>
      <c r="C64" s="7">
        <f>SUM('Астрид'!C64,'Курортный'!C64,'Новое Колпино'!C64,'Таллинский парк'!C64)</f>
        <v/>
      </c>
      <c r="D64" s="7">
        <f>SUM('Астрид'!D64,'Курортный'!D64,'Новое Колпино'!D64,'Таллинский парк'!D64)</f>
        <v/>
      </c>
      <c r="E64" s="7">
        <f>SUM('Астрид'!E64,'Курортный'!E64,'Новое Колпино'!E64,'Таллинский парк'!E64)</f>
        <v/>
      </c>
      <c r="F64" s="7">
        <f>SUM('Астрид'!F64,'Курортный'!F64,'Новое Колпино'!F64,'Таллинский парк'!F64)</f>
        <v/>
      </c>
      <c r="G64" s="7">
        <f>SUM('Астрид'!G64,'Курортный'!G64,'Новое Колпино'!G64,'Таллинский парк'!G64)</f>
        <v/>
      </c>
      <c r="H64" s="7" t="inlineStr">
        <is>
          <t>-</t>
        </is>
      </c>
      <c r="I64" s="7">
        <f>SUM('Астрид'!I64,'Курортный'!I64,'Новое Колпино'!I64,'Таллинский парк'!I64)</f>
        <v/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>
        <f>SUM(C65,D65,E65,F65)</f>
        <v/>
      </c>
      <c r="C65" s="7">
        <f>SUM('Астрид'!C65,'Курортный'!C65,'Новое Колпино'!C65,'Таллинский парк'!C65)</f>
        <v/>
      </c>
      <c r="D65" s="7">
        <f>SUM('Астрид'!D65,'Курортный'!D65,'Новое Колпино'!D65,'Таллинский парк'!D65)</f>
        <v/>
      </c>
      <c r="E65" s="7">
        <f>SUM('Астрид'!E65,'Курортный'!E65,'Новое Колпино'!E65,'Таллинский парк'!E65)</f>
        <v/>
      </c>
      <c r="F65" s="7">
        <f>SUM('Астрид'!F65,'Курортный'!F65,'Новое Колпино'!F65,'Таллинский парк'!F65)</f>
        <v/>
      </c>
      <c r="G65" s="7">
        <f>SUM('Астрид'!G65,'Курортный'!G65,'Новое Колпино'!G65,'Таллинский парк'!G65)</f>
        <v/>
      </c>
      <c r="H65" s="7" t="inlineStr">
        <is>
          <t>-</t>
        </is>
      </c>
      <c r="I65" s="7">
        <f>SUM('Астрид'!I65,'Курортный'!I65,'Новое Колпино'!I65,'Таллинский парк'!I65)</f>
        <v/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>
        <f>SUM(C66,D66,E66,F66)</f>
        <v/>
      </c>
      <c r="C66" s="7">
        <f>SUM('Астрид'!C66,'Курортный'!C66,'Новое Колпино'!C66,'Таллинский парк'!C66)</f>
        <v/>
      </c>
      <c r="D66" s="7">
        <f>SUM('Астрид'!D66,'Курортный'!D66,'Новое Колпино'!D66,'Таллинский парк'!D66)</f>
        <v/>
      </c>
      <c r="E66" s="7">
        <f>SUM('Астрид'!E66,'Курортный'!E66,'Новое Колпино'!E66,'Таллинский парк'!E66)</f>
        <v/>
      </c>
      <c r="F66" s="7">
        <f>SUM('Астрид'!F66,'Курортный'!F66,'Новое Колпино'!F66,'Таллинский парк'!F66)</f>
        <v/>
      </c>
      <c r="G66" s="7">
        <f>SUM('Астрид'!G66,'Курортный'!G66,'Новое Колпино'!G66,'Таллинский парк'!G66)</f>
        <v/>
      </c>
      <c r="H66" s="7" t="inlineStr">
        <is>
          <t>-</t>
        </is>
      </c>
      <c r="I66" s="7">
        <f>SUM('Астрид'!I66,'Курортный'!I66,'Новое Колпино'!I66,'Таллинский парк'!I66)</f>
        <v/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>
        <f>SUM(C67,D67,E67,F67)</f>
        <v/>
      </c>
      <c r="C67" s="7">
        <f>SUM('Астрид'!C67,'Курортный'!C67,'Новое Колпино'!C67,'Таллинский парк'!C67)</f>
        <v/>
      </c>
      <c r="D67" s="7">
        <f>SUM('Астрид'!D67,'Курортный'!D67,'Новое Колпино'!D67,'Таллинский парк'!D67)</f>
        <v/>
      </c>
      <c r="E67" s="7">
        <f>SUM('Астрид'!E67,'Курортный'!E67,'Новое Колпино'!E67,'Таллинский парк'!E67)</f>
        <v/>
      </c>
      <c r="F67" s="7">
        <f>SUM('Астрид'!F67,'Курортный'!F67,'Новое Колпино'!F67,'Таллинский парк'!F67)</f>
        <v/>
      </c>
      <c r="G67" s="7">
        <f>SUM('Астрид'!G67,'Курортный'!G67,'Новое Колпино'!G67,'Таллинский парк'!G67)</f>
        <v/>
      </c>
      <c r="H67" s="7" t="inlineStr">
        <is>
          <t>-</t>
        </is>
      </c>
      <c r="I67" s="7">
        <f>SUM('Астрид'!I67,'Курортный'!I67,'Новое Колпино'!I67,'Таллинский парк'!I67)</f>
        <v/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>
        <f>SUM(C68,D68,E68,F68)</f>
        <v/>
      </c>
      <c r="C68" s="7">
        <f>SUM('Астрид'!C68,'Курортный'!C68,'Новое Колпино'!C68,'Таллинский парк'!C68)</f>
        <v/>
      </c>
      <c r="D68" s="7">
        <f>SUM('Астрид'!D68,'Курортный'!D68,'Новое Колпино'!D68,'Таллинский парк'!D68)</f>
        <v/>
      </c>
      <c r="E68" s="7">
        <f>SUM('Астрид'!E68,'Курортный'!E68,'Новое Колпино'!E68,'Таллинский парк'!E68)</f>
        <v/>
      </c>
      <c r="F68" s="7">
        <f>SUM('Астрид'!F68,'Курортный'!F68,'Новое Колпино'!F68,'Таллинский парк'!F68)</f>
        <v/>
      </c>
      <c r="G68" s="7">
        <f>SUM('Астрид'!G68,'Курортный'!G68,'Новое Колпино'!G68,'Таллинский парк'!G68)</f>
        <v/>
      </c>
      <c r="H68" s="7" t="inlineStr">
        <is>
          <t>-</t>
        </is>
      </c>
      <c r="I68" s="7">
        <f>SUM('Астрид'!I68,'Курортный'!I68,'Новое Колпино'!I68,'Таллинский парк'!I68)</f>
        <v/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>
        <f>SUM(C69,D69,E69,F69)</f>
        <v/>
      </c>
      <c r="C69" s="7">
        <f>SUM('Астрид'!C69,'Курортный'!C69,'Новое Колпино'!C69,'Таллинский парк'!C69)</f>
        <v/>
      </c>
      <c r="D69" s="7">
        <f>SUM('Астрид'!D69,'Курортный'!D69,'Новое Колпино'!D69,'Таллинский парк'!D69)</f>
        <v/>
      </c>
      <c r="E69" s="7">
        <f>SUM('Астрид'!E69,'Курортный'!E69,'Новое Колпино'!E69,'Таллинский парк'!E69)</f>
        <v/>
      </c>
      <c r="F69" s="7">
        <f>SUM('Астрид'!F69,'Курортный'!F69,'Новое Колпино'!F69,'Таллинский парк'!F69)</f>
        <v/>
      </c>
      <c r="G69" s="7">
        <f>SUM('Астрид'!G69,'Курортный'!G69,'Новое Колпино'!G69,'Таллинский парк'!G69)</f>
        <v/>
      </c>
      <c r="H69" s="7" t="inlineStr">
        <is>
          <t>-</t>
        </is>
      </c>
      <c r="I69" s="7">
        <f>SUM('Астрид'!I69,'Курортный'!I69,'Новое Колпино'!I69,'Таллинский парк'!I69)</f>
        <v/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>
        <f>SUM(C70,D70,E70,F70)</f>
        <v/>
      </c>
      <c r="C70" s="7">
        <f>SUM('Астрид'!C70,'Курортный'!C70,'Новое Колпино'!C70,'Таллинский парк'!C70)</f>
        <v/>
      </c>
      <c r="D70" s="7">
        <f>SUM('Астрид'!D70,'Курортный'!D70,'Новое Колпино'!D70,'Таллинский парк'!D70)</f>
        <v/>
      </c>
      <c r="E70" s="7">
        <f>SUM('Астрид'!E70,'Курортный'!E70,'Новое Колпино'!E70,'Таллинский парк'!E70)</f>
        <v/>
      </c>
      <c r="F70" s="7">
        <f>SUM('Астрид'!F70,'Курортный'!F70,'Новое Колпино'!F70,'Таллинский парк'!F70)</f>
        <v/>
      </c>
      <c r="G70" s="7">
        <f>SUM('Астрид'!G70,'Курортный'!G70,'Новое Колпино'!G70,'Таллинский парк'!G70)</f>
        <v/>
      </c>
      <c r="H70" s="7" t="inlineStr">
        <is>
          <t>-</t>
        </is>
      </c>
      <c r="I70" s="7">
        <f>SUM('Астрид'!I70,'Курортный'!I70,'Новое Колпино'!I70,'Таллинский парк'!I70)</f>
        <v/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>
        <f>SUM(C71,D71,E71,F71)</f>
        <v/>
      </c>
      <c r="C71" s="7">
        <f>SUM('Астрид'!C71,'Курортный'!C71,'Новое Колпино'!C71,'Таллинский парк'!C71)</f>
        <v/>
      </c>
      <c r="D71" s="7">
        <f>SUM('Астрид'!D71,'Курортный'!D71,'Новое Колпино'!D71,'Таллинский парк'!D71)</f>
        <v/>
      </c>
      <c r="E71" s="7">
        <f>SUM('Астрид'!E71,'Курортный'!E71,'Новое Колпино'!E71,'Таллинский парк'!E71)</f>
        <v/>
      </c>
      <c r="F71" s="7">
        <f>SUM('Астрид'!F71,'Курортный'!F71,'Новое Колпино'!F71,'Таллинский парк'!F71)</f>
        <v/>
      </c>
      <c r="G71" s="7">
        <f>SUM('Астрид'!G71,'Курортный'!G71,'Новое Колпино'!G71,'Таллинский парк'!G71)</f>
        <v/>
      </c>
      <c r="H71" s="7" t="inlineStr">
        <is>
          <t>-</t>
        </is>
      </c>
      <c r="I71" s="7">
        <f>SUM('Астрид'!I71,'Курортный'!I71,'Новое Колпино'!I71,'Таллинский парк'!I71)</f>
        <v/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>
        <f>SUM(C72,D72,E72,F72)</f>
        <v/>
      </c>
      <c r="C72" s="7">
        <f>SUM('Астрид'!C72,'Курортный'!C72,'Новое Колпино'!C72,'Таллинский парк'!C72)</f>
        <v/>
      </c>
      <c r="D72" s="7">
        <f>SUM('Астрид'!D72,'Курортный'!D72,'Новое Колпино'!D72,'Таллинский парк'!D72)</f>
        <v/>
      </c>
      <c r="E72" s="7">
        <f>SUM('Астрид'!E72,'Курортный'!E72,'Новое Колпино'!E72,'Таллинский парк'!E72)</f>
        <v/>
      </c>
      <c r="F72" s="7">
        <f>SUM('Астрид'!F72,'Курортный'!F72,'Новое Колпино'!F72,'Таллинский парк'!F72)</f>
        <v/>
      </c>
      <c r="G72" s="7">
        <f>SUM('Астрид'!G72,'Курортный'!G72,'Новое Колпино'!G72,'Таллинский парк'!G72)</f>
        <v/>
      </c>
      <c r="H72" s="7" t="inlineStr">
        <is>
          <t>-</t>
        </is>
      </c>
      <c r="I72" s="7">
        <f>SUM('Астрид'!I72,'Курортный'!I72,'Новое Колпино'!I72,'Таллинский парк'!I72)</f>
        <v/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>
        <f>SUM(C73,D73,E73,F73)</f>
        <v/>
      </c>
      <c r="C73" s="7">
        <f>SUM('Астрид'!C73,'Курортный'!C73,'Новое Колпино'!C73,'Таллинский парк'!C73)</f>
        <v/>
      </c>
      <c r="D73" s="7">
        <f>SUM('Астрид'!D73,'Курортный'!D73,'Новое Колпино'!D73,'Таллинский парк'!D73)</f>
        <v/>
      </c>
      <c r="E73" s="7">
        <f>SUM('Астрид'!E73,'Курортный'!E73,'Новое Колпино'!E73,'Таллинский парк'!E73)</f>
        <v/>
      </c>
      <c r="F73" s="7">
        <f>SUM('Астрид'!F73,'Курортный'!F73,'Новое Колпино'!F73,'Таллинский парк'!F73)</f>
        <v/>
      </c>
      <c r="G73" s="7">
        <f>SUM('Астрид'!G73,'Курортный'!G73,'Новое Колпино'!G73,'Таллинский парк'!G73)</f>
        <v/>
      </c>
      <c r="H73" s="7" t="inlineStr">
        <is>
          <t>-</t>
        </is>
      </c>
      <c r="I73" s="7">
        <f>SUM('Астрид'!I73,'Курортный'!I73,'Новое Колпино'!I73,'Таллинский парк'!I73)</f>
        <v/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>
        <f>SUM(C74,D74,E74,F74)</f>
        <v/>
      </c>
      <c r="C74" s="7">
        <f>SUM('Астрид'!C74,'Курортный'!C74,'Новое Колпино'!C74,'Таллинский парк'!C74)</f>
        <v/>
      </c>
      <c r="D74" s="7">
        <f>SUM('Астрид'!D74,'Курортный'!D74,'Новое Колпино'!D74,'Таллинский парк'!D74)</f>
        <v/>
      </c>
      <c r="E74" s="7">
        <f>SUM('Астрид'!E74,'Курортный'!E74,'Новое Колпино'!E74,'Таллинский парк'!E74)</f>
        <v/>
      </c>
      <c r="F74" s="7">
        <f>SUM('Астрид'!F74,'Курортный'!F74,'Новое Колпино'!F74,'Таллинский парк'!F74)</f>
        <v/>
      </c>
      <c r="G74" s="7">
        <f>SUM('Астрид'!G74,'Курортный'!G74,'Новое Колпино'!G74,'Таллинский парк'!G74)</f>
        <v/>
      </c>
      <c r="H74" s="7" t="inlineStr">
        <is>
          <t>-</t>
        </is>
      </c>
      <c r="I74" s="7">
        <f>SUM('Астрид'!I74,'Курортный'!I74,'Новое Колпино'!I74,'Таллинский парк'!I74)</f>
        <v/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>
        <f>SUM(C75,D75,E75,F75)</f>
        <v/>
      </c>
      <c r="C75" s="7">
        <f>SUM('Астрид'!C75,'Курортный'!C75,'Новое Колпино'!C75,'Таллинский парк'!C75)</f>
        <v/>
      </c>
      <c r="D75" s="7">
        <f>SUM('Астрид'!D75,'Курортный'!D75,'Новое Колпино'!D75,'Таллинский парк'!D75)</f>
        <v/>
      </c>
      <c r="E75" s="7">
        <f>SUM('Астрид'!E75,'Курортный'!E75,'Новое Колпино'!E75,'Таллинский парк'!E75)</f>
        <v/>
      </c>
      <c r="F75" s="7">
        <f>SUM('Астрид'!F75,'Курортный'!F75,'Новое Колпино'!F75,'Таллинский парк'!F75)</f>
        <v/>
      </c>
      <c r="G75" s="7">
        <f>SUM('Астрид'!G75,'Курортный'!G75,'Новое Колпино'!G75,'Таллинский парк'!G75)</f>
        <v/>
      </c>
      <c r="H75" s="7" t="inlineStr">
        <is>
          <t>-</t>
        </is>
      </c>
      <c r="I75" s="7">
        <f>SUM('Астрид'!I75,'Курортный'!I75,'Новое Колпино'!I75,'Таллинский парк'!I75)</f>
        <v/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>
        <f>SUM(C76,D76,E76,F76)</f>
        <v/>
      </c>
      <c r="C76" s="7">
        <f>SUM('Астрид'!C76,'Курортный'!C76,'Новое Колпино'!C76,'Таллинский парк'!C76)</f>
        <v/>
      </c>
      <c r="D76" s="7">
        <f>SUM('Астрид'!D76,'Курортный'!D76,'Новое Колпино'!D76,'Таллинский парк'!D76)</f>
        <v/>
      </c>
      <c r="E76" s="7">
        <f>SUM('Астрид'!E76,'Курортный'!E76,'Новое Колпино'!E76,'Таллинский парк'!E76)</f>
        <v/>
      </c>
      <c r="F76" s="7">
        <f>SUM('Астрид'!F76,'Курортный'!F76,'Новое Колпино'!F76,'Таллинский парк'!F76)</f>
        <v/>
      </c>
      <c r="G76" s="7">
        <f>SUM('Астрид'!G76,'Курортный'!G76,'Новое Колпино'!G76,'Таллинский парк'!G76)</f>
        <v/>
      </c>
      <c r="H76" s="7" t="inlineStr">
        <is>
          <t>-</t>
        </is>
      </c>
      <c r="I76" s="7">
        <f>SUM('Астрид'!I76,'Курортный'!I76,'Новое Колпино'!I76,'Таллинский парк'!I76)</f>
        <v/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>
        <f>SUM(C77,D77,E77,F77)</f>
        <v/>
      </c>
      <c r="C77" s="7">
        <f>SUM('Астрид'!C77,'Курортный'!C77,'Новое Колпино'!C77,'Таллинский парк'!C77)</f>
        <v/>
      </c>
      <c r="D77" s="7">
        <f>SUM('Астрид'!D77,'Курортный'!D77,'Новое Колпино'!D77,'Таллинский парк'!D77)</f>
        <v/>
      </c>
      <c r="E77" s="7">
        <f>SUM('Астрид'!E77,'Курортный'!E77,'Новое Колпино'!E77,'Таллинский парк'!E77)</f>
        <v/>
      </c>
      <c r="F77" s="7">
        <f>SUM('Астрид'!F77,'Курортный'!F77,'Новое Колпино'!F77,'Таллинский парк'!F77)</f>
        <v/>
      </c>
      <c r="G77" s="7">
        <f>SUM('Астрид'!G77,'Курортный'!G77,'Новое Колпино'!G77,'Таллинский парк'!G77)</f>
        <v/>
      </c>
      <c r="H77" s="7" t="inlineStr">
        <is>
          <t>-</t>
        </is>
      </c>
      <c r="I77" s="7">
        <f>SUM('Астрид'!I77,'Курортный'!I77,'Новое Колпино'!I77,'Таллинский парк'!I77)</f>
        <v/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>
        <f>SUM(C78,D78,E78,F78)</f>
        <v/>
      </c>
      <c r="C78" s="7">
        <f>SUM('Астрид'!C78,'Курортный'!C78,'Новое Колпино'!C78,'Таллинский парк'!C78)</f>
        <v/>
      </c>
      <c r="D78" s="7">
        <f>SUM('Астрид'!D78,'Курортный'!D78,'Новое Колпино'!D78,'Таллинский парк'!D78)</f>
        <v/>
      </c>
      <c r="E78" s="7">
        <f>SUM('Астрид'!E78,'Курортный'!E78,'Новое Колпино'!E78,'Таллинский парк'!E78)</f>
        <v/>
      </c>
      <c r="F78" s="7">
        <f>SUM('Астрид'!F78,'Курортный'!F78,'Новое Колпино'!F78,'Таллинский парк'!F78)</f>
        <v/>
      </c>
      <c r="G78" s="7">
        <f>SUM('Астрид'!G78,'Курортный'!G78,'Новое Колпино'!G78,'Таллинский парк'!G78)</f>
        <v/>
      </c>
      <c r="H78" s="7" t="inlineStr">
        <is>
          <t>-</t>
        </is>
      </c>
      <c r="I78" s="7">
        <f>SUM('Астрид'!I78,'Курортный'!I78,'Новое Колпино'!I78,'Таллинский парк'!I78)</f>
        <v/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>
        <f>SUM(C79,D79,E79,F79)</f>
        <v/>
      </c>
      <c r="C79" s="7">
        <f>SUM('Астрид'!C79,'Курортный'!C79,'Новое Колпино'!C79,'Таллинский парк'!C79)</f>
        <v/>
      </c>
      <c r="D79" s="7">
        <f>SUM('Астрид'!D79,'Курортный'!D79,'Новое Колпино'!D79,'Таллинский парк'!D79)</f>
        <v/>
      </c>
      <c r="E79" s="7">
        <f>SUM('Астрид'!E79,'Курортный'!E79,'Новое Колпино'!E79,'Таллинский парк'!E79)</f>
        <v/>
      </c>
      <c r="F79" s="7">
        <f>SUM('Астрид'!F79,'Курортный'!F79,'Новое Колпино'!F79,'Таллинский парк'!F79)</f>
        <v/>
      </c>
      <c r="G79" s="7">
        <f>SUM('Астрид'!G79,'Курортный'!G79,'Новое Колпино'!G79,'Таллинский парк'!G79)</f>
        <v/>
      </c>
      <c r="H79" s="7" t="inlineStr">
        <is>
          <t>-</t>
        </is>
      </c>
      <c r="I79" s="7">
        <f>SUM('Астрид'!I79,'Курортный'!I79,'Новое Колпино'!I79,'Таллинский парк'!I79)</f>
        <v/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>
        <f>B43-B45</f>
        <v/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 t="inlineStr">
        <is>
          <t>-</t>
        </is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>
        <f>IFERROR(IF(B4=0,"-",B80/B4),"-")</f>
        <v/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 t="inlineStr">
        <is>
          <t>-</t>
        </is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>
        <f>SUM(B83,B84,B85,B86)</f>
        <v/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 t="inlineStr">
        <is>
          <t>-</t>
        </is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>
        <f>SUM(C83,D83,E83,F83)</f>
        <v/>
      </c>
      <c r="C83" s="7">
        <f>SUM('Астрид'!C83,'Курортный'!C83,'Новое Колпино'!C83,'Таллинский парк'!C83)</f>
        <v/>
      </c>
      <c r="D83" s="7">
        <f>SUM('Астрид'!D83,'Курортный'!D83,'Новое Колпино'!D83,'Таллинский парк'!D83)</f>
        <v/>
      </c>
      <c r="E83" s="7">
        <f>SUM('Астрид'!E83,'Курортный'!E83,'Новое Колпино'!E83,'Таллинский парк'!E83)</f>
        <v/>
      </c>
      <c r="F83" s="7">
        <f>SUM('Астрид'!F83,'Курортный'!F83,'Новое Колпино'!F83,'Таллинский парк'!F83)</f>
        <v/>
      </c>
      <c r="G83" s="7">
        <f>SUM('Астрид'!G83,'Курортный'!G83,'Новое Колпино'!G83,'Таллинский парк'!G83)</f>
        <v/>
      </c>
      <c r="H83" s="7" t="inlineStr">
        <is>
          <t>-</t>
        </is>
      </c>
      <c r="I83" s="7">
        <f>SUM('Астрид'!I83,'Курортный'!I83,'Новое Колпино'!I83,'Таллинский парк'!I83)</f>
        <v/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>
        <f>SUM(C84,D84,E84,F84)</f>
        <v/>
      </c>
      <c r="C84" s="7">
        <f>SUM('Астрид'!C84,'Курортный'!C84,'Новое Колпино'!C84,'Таллинский парк'!C84)</f>
        <v/>
      </c>
      <c r="D84" s="7">
        <f>SUM('Астрид'!D84,'Курортный'!D84,'Новое Колпино'!D84,'Таллинский парк'!D84)</f>
        <v/>
      </c>
      <c r="E84" s="7">
        <f>SUM('Астрид'!E84,'Курортный'!E84,'Новое Колпино'!E84,'Таллинский парк'!E84)</f>
        <v/>
      </c>
      <c r="F84" s="7">
        <f>SUM('Астрид'!F84,'Курортный'!F84,'Новое Колпино'!F84,'Таллинский парк'!F84)</f>
        <v/>
      </c>
      <c r="G84" s="7">
        <f>SUM('Астрид'!G84,'Курортный'!G84,'Новое Колпино'!G84,'Таллинский парк'!G84)</f>
        <v/>
      </c>
      <c r="H84" s="7" t="inlineStr">
        <is>
          <t>-</t>
        </is>
      </c>
      <c r="I84" s="7">
        <f>SUM('Астрид'!I84,'Курортный'!I84,'Новое Колпино'!I84,'Таллинский парк'!I84)</f>
        <v/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>
        <f>SUM(C85,D85,E85,F85)</f>
        <v/>
      </c>
      <c r="C85" s="7">
        <f>SUM('Астрид'!C85,'Курортный'!C85,'Новое Колпино'!C85,'Таллинский парк'!C85)</f>
        <v/>
      </c>
      <c r="D85" s="7">
        <f>SUM('Астрид'!D85,'Курортный'!D85,'Новое Колпино'!D85,'Таллинский парк'!D85)</f>
        <v/>
      </c>
      <c r="E85" s="7">
        <f>SUM('Астрид'!E85,'Курортный'!E85,'Новое Колпино'!E85,'Таллинский парк'!E85)</f>
        <v/>
      </c>
      <c r="F85" s="7">
        <f>SUM('Астрид'!F85,'Курортный'!F85,'Новое Колпино'!F85,'Таллинский парк'!F85)</f>
        <v/>
      </c>
      <c r="G85" s="7">
        <f>SUM('Астрид'!G85,'Курортный'!G85,'Новое Колпино'!G85,'Таллинский парк'!G85)</f>
        <v/>
      </c>
      <c r="H85" s="7" t="inlineStr">
        <is>
          <t>-</t>
        </is>
      </c>
      <c r="I85" s="7">
        <f>SUM('Астрид'!I85,'Курортный'!I85,'Новое Колпино'!I85,'Таллинский парк'!I85)</f>
        <v/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>
        <f>SUM(C86,D86,E86,F86)</f>
        <v/>
      </c>
      <c r="C86" s="7">
        <f>SUM('Астрид'!C86,'Курортный'!C86,'Новое Колпино'!C86,'Таллинский парк'!C86)</f>
        <v/>
      </c>
      <c r="D86" s="7">
        <f>SUM('Астрид'!D86,'Курортный'!D86,'Новое Колпино'!D86,'Таллинский парк'!D86)</f>
        <v/>
      </c>
      <c r="E86" s="7">
        <f>SUM('Астрид'!E86,'Курортный'!E86,'Новое Колпино'!E86,'Таллинский парк'!E86)</f>
        <v/>
      </c>
      <c r="F86" s="7">
        <f>SUM('Астрид'!F86,'Курортный'!F86,'Новое Колпино'!F86,'Таллинский парк'!F86)</f>
        <v/>
      </c>
      <c r="G86" s="7">
        <f>SUM('Астрид'!G86,'Курортный'!G86,'Новое Колпино'!G86,'Таллинский парк'!G86)</f>
        <v/>
      </c>
      <c r="H86" s="7" t="inlineStr">
        <is>
          <t>-</t>
        </is>
      </c>
      <c r="I86" s="7">
        <f>SUM('Астрид'!I86,'Курортный'!I86,'Новое Колпино'!I86,'Таллинский парк'!I86)</f>
        <v/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>
        <f>SUM(B88)</f>
        <v/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 t="inlineStr">
        <is>
          <t>-</t>
        </is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>
        <f>SUM(C88,D88,E88,F88)</f>
        <v/>
      </c>
      <c r="C88" s="7">
        <f>SUM('Астрид'!C88,'Курортный'!C88,'Новое Колпино'!C88,'Таллинский парк'!C88)</f>
        <v/>
      </c>
      <c r="D88" s="7">
        <f>SUM('Астрид'!D88,'Курортный'!D88,'Новое Колпино'!D88,'Таллинский парк'!D88)</f>
        <v/>
      </c>
      <c r="E88" s="7">
        <f>SUM('Астрид'!E88,'Курортный'!E88,'Новое Колпино'!E88,'Таллинский парк'!E88)</f>
        <v/>
      </c>
      <c r="F88" s="7">
        <f>SUM('Астрид'!F88,'Курортный'!F88,'Новое Колпино'!F88,'Таллинский парк'!F88)</f>
        <v/>
      </c>
      <c r="G88" s="7">
        <f>SUM('Астрид'!G88,'Курортный'!G88,'Новое Колпино'!G88,'Таллинский парк'!G88)</f>
        <v/>
      </c>
      <c r="H88" s="7" t="inlineStr">
        <is>
          <t>-</t>
        </is>
      </c>
      <c r="I88" s="7">
        <f>SUM('Астрид'!I88,'Курортный'!I88,'Новое Колпино'!I88,'Таллинский парк'!I88)</f>
        <v/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>
        <f>B80+IFERROR(B82*1,0)-IFERROR(B87*1,0)</f>
        <v/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 t="inlineStr">
        <is>
          <t>-</t>
        </is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>
        <f>IFERROR(IF(B4=0,"-",B89/B4),"-")</f>
        <v/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 t="inlineStr">
        <is>
          <t>-</t>
        </is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>
        <f>SUM(B92,B93)</f>
        <v/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 t="inlineStr">
        <is>
          <t>-</t>
        </is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>
        <f>SUM(C92,D92,E92,F92)</f>
        <v/>
      </c>
      <c r="C92" s="7">
        <f>SUM('Астрид'!C92,'Курортный'!C92,'Новое Колпино'!C92,'Таллинский парк'!C92)</f>
        <v/>
      </c>
      <c r="D92" s="7">
        <f>SUM('Астрид'!D92,'Курортный'!D92,'Новое Колпино'!D92,'Таллинский парк'!D92)</f>
        <v/>
      </c>
      <c r="E92" s="7">
        <f>SUM('Астрид'!E92,'Курортный'!E92,'Новое Колпино'!E92,'Таллинский парк'!E92)</f>
        <v/>
      </c>
      <c r="F92" s="7">
        <f>SUM('Астрид'!F92,'Курортный'!F92,'Новое Колпино'!F92,'Таллинский парк'!F92)</f>
        <v/>
      </c>
      <c r="G92" s="7">
        <f>SUM('Астрид'!G92,'Курортный'!G92,'Новое Колпино'!G92,'Таллинский парк'!G92)</f>
        <v/>
      </c>
      <c r="H92" s="7" t="inlineStr">
        <is>
          <t>-</t>
        </is>
      </c>
      <c r="I92" s="7">
        <f>SUM('Астрид'!I92,'Курортный'!I92,'Новое Колпино'!I92,'Таллинский парк'!I92)</f>
        <v/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>
        <f>SUM(C93,D93,E93,F93)</f>
        <v/>
      </c>
      <c r="C93" s="7">
        <f>SUM('Астрид'!C93,'Курортный'!C93,'Новое Колпино'!C93,'Таллинский парк'!C93)</f>
        <v/>
      </c>
      <c r="D93" s="7">
        <f>SUM('Астрид'!D93,'Курортный'!D93,'Новое Колпино'!D93,'Таллинский парк'!D93)</f>
        <v/>
      </c>
      <c r="E93" s="7">
        <f>SUM('Астрид'!E93,'Курортный'!E93,'Новое Колпино'!E93,'Таллинский парк'!E93)</f>
        <v/>
      </c>
      <c r="F93" s="7">
        <f>SUM('Астрид'!F93,'Курортный'!F93,'Новое Колпино'!F93,'Таллинский парк'!F93)</f>
        <v/>
      </c>
      <c r="G93" s="7">
        <f>SUM('Астрид'!G93,'Курортный'!G93,'Новое Колпино'!G93,'Таллинский парк'!G93)</f>
        <v/>
      </c>
      <c r="H93" s="7" t="inlineStr">
        <is>
          <t>-</t>
        </is>
      </c>
      <c r="I93" s="7">
        <f>SUM('Астрид'!I93,'Курортный'!I93,'Новое Колпино'!I93,'Таллинский парк'!I93)</f>
        <v/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>
        <f>SUM(C94,D94,E94,F94)</f>
        <v/>
      </c>
      <c r="C94" s="7">
        <f>SUM('Астрид'!C94,'Курортный'!C94,'Новое Колпино'!C94,'Таллинский парк'!C94)</f>
        <v/>
      </c>
      <c r="D94" s="7">
        <f>SUM('Астрид'!D94,'Курортный'!D94,'Новое Колпино'!D94,'Таллинский парк'!D94)</f>
        <v/>
      </c>
      <c r="E94" s="7">
        <f>SUM('Астрид'!E94,'Курортный'!E94,'Новое Колпино'!E94,'Таллинский парк'!E94)</f>
        <v/>
      </c>
      <c r="F94" s="7">
        <f>SUM('Астрид'!F94,'Курортный'!F94,'Новое Колпино'!F94,'Таллинский парк'!F94)</f>
        <v/>
      </c>
      <c r="G94" s="7">
        <f>SUM('Астрид'!G94,'Курортный'!G94,'Новое Колпино'!G94,'Таллинский парк'!G94)</f>
        <v/>
      </c>
      <c r="H94" s="7" t="inlineStr">
        <is>
          <t>-</t>
        </is>
      </c>
      <c r="I94" s="7">
        <f>SUM('Астрид'!I94,'Курортный'!I94,'Новое Колпино'!I94,'Таллинский парк'!I94)</f>
        <v/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>
        <f>SUM(B96,B97)</f>
        <v/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 t="inlineStr">
        <is>
          <t>-</t>
        </is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>
        <f>SUM(C96,D96,E96,F96)</f>
        <v/>
      </c>
      <c r="C96" s="7">
        <f>SUM('Астрид'!C96,'Курортный'!C96,'Новое Колпино'!C96,'Таллинский парк'!C96)</f>
        <v/>
      </c>
      <c r="D96" s="7">
        <f>SUM('Астрид'!D96,'Курортный'!D96,'Новое Колпино'!D96,'Таллинский парк'!D96)</f>
        <v/>
      </c>
      <c r="E96" s="7">
        <f>SUM('Астрид'!E96,'Курортный'!E96,'Новое Колпино'!E96,'Таллинский парк'!E96)</f>
        <v/>
      </c>
      <c r="F96" s="7">
        <f>SUM('Астрид'!F96,'Курортный'!F96,'Новое Колпино'!F96,'Таллинский парк'!F96)</f>
        <v/>
      </c>
      <c r="G96" s="7">
        <f>SUM('Астрид'!G96,'Курортный'!G96,'Новое Колпино'!G96,'Таллинский парк'!G96)</f>
        <v/>
      </c>
      <c r="H96" s="7" t="inlineStr">
        <is>
          <t>-</t>
        </is>
      </c>
      <c r="I96" s="7">
        <f>SUM('Астрид'!I96,'Курортный'!I96,'Новое Колпино'!I96,'Таллинский парк'!I96)</f>
        <v/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>
        <f>SUM(C97,D97,E97,F97)</f>
        <v/>
      </c>
      <c r="C97" s="7">
        <f>SUM('Астрид'!C97,'Курортный'!C97,'Новое Колпино'!C97,'Таллинский парк'!C97)</f>
        <v/>
      </c>
      <c r="D97" s="7">
        <f>SUM('Астрид'!D97,'Курортный'!D97,'Новое Колпино'!D97,'Таллинский парк'!D97)</f>
        <v/>
      </c>
      <c r="E97" s="7">
        <f>SUM('Астрид'!E97,'Курортный'!E97,'Новое Колпино'!E97,'Таллинский парк'!E97)</f>
        <v/>
      </c>
      <c r="F97" s="7">
        <f>SUM('Астрид'!F97,'Курортный'!F97,'Новое Колпино'!F97,'Таллинский парк'!F97)</f>
        <v/>
      </c>
      <c r="G97" s="7">
        <f>SUM('Астрид'!G97,'Курортный'!G97,'Новое Колпино'!G97,'Таллинский парк'!G97)</f>
        <v/>
      </c>
      <c r="H97" s="7" t="inlineStr">
        <is>
          <t>-</t>
        </is>
      </c>
      <c r="I97" s="7">
        <f>SUM('Астрид'!I97,'Курортный'!I97,'Новое Колпино'!I97,'Таллинский парк'!I97)</f>
        <v/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>
        <f>IFERROR(B89*1,0)-IFERROR(B91*1,0)-IFERROR(B94*1,0)-IFERROR(B95*1,0)</f>
        <v/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 t="inlineStr">
        <is>
          <t>-</t>
        </is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>
        <f>IFERROR(IF(B4=0,"-",B98/B4),"-")</f>
        <v/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 t="inlineStr">
        <is>
          <t>-</t>
        </is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Астрид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>
        <f>SUM(B5,B6)</f>
        <v/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 t="inlineStr">
        <is>
          <t>-</t>
        </is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>
        <f>SUM(C5,D5,E5,F5)</f>
        <v/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>
        <f>SUM(B7,B8,B9)</f>
        <v/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 t="inlineStr">
        <is>
          <t>-</t>
        </is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>
        <f>SUM(C7,D7,E7,F7)</f>
        <v/>
      </c>
      <c r="C7" s="7" t="n">
        <v>228370.58</v>
      </c>
      <c r="D7" s="7" t="n">
        <v>653960.5699999999</v>
      </c>
      <c r="E7" s="7" t="n">
        <v>228370.58</v>
      </c>
      <c r="F7" s="7" t="n">
        <v>653960.5699999999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>
        <f>SUM(C8,D8,E8,F8)</f>
        <v/>
      </c>
      <c r="C8" s="7" t="inlineStr">
        <is>
          <t>-</t>
        </is>
      </c>
      <c r="D8" s="7" t="n">
        <v>470000</v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>
        <f>SUM(C9,D9,E9,F9)</f>
        <v/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>
        <f>SUM(B11,B12,B13,B21,B22,B23,B24,B25,B26,B27,B28,B29,B30,B31,B32,B33,B34)</f>
        <v/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 t="inlineStr">
        <is>
          <t>-</t>
        </is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>
        <f>SUM(C11,D11,E11,F11)</f>
        <v/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>
        <f>SUM(C12,D12,E12,F12)</f>
        <v/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>
        <f>SUM(B14,B15,B16,B17,B18,B19,B20)</f>
        <v/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 t="inlineStr">
        <is>
          <t>-</t>
        </is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>
        <f>SUM(C14,D14,E14,F14)</f>
        <v/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>
        <f>SUM(C15,D15,E15,F15)</f>
        <v/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>
        <f>SUM(C16,D16,E16,F16)</f>
        <v/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>
        <f>SUM(C17,D17,E17,F17)</f>
        <v/>
      </c>
      <c r="C17" s="7" t="n">
        <v>10587.92</v>
      </c>
      <c r="D17" s="7" t="n">
        <v>21587.92</v>
      </c>
      <c r="E17" s="7" t="n">
        <v>10587.92</v>
      </c>
      <c r="F17" s="7" t="n">
        <v>10000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>
        <f>SUM(C18,D18,E18,F18)</f>
        <v/>
      </c>
      <c r="C18" s="7" t="inlineStr">
        <is>
          <t>-</t>
        </is>
      </c>
      <c r="D18" s="7" t="n">
        <v>5000</v>
      </c>
      <c r="E18" s="7" t="inlineStr">
        <is>
          <t>-</t>
        </is>
      </c>
      <c r="F18" s="7" t="n">
        <v>5000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>
        <f>SUM(C19,D19,E19,F19)</f>
        <v/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>
        <f>SUM(C20,D20,E20,F20)</f>
        <v/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>
        <f>SUM(C21,D21,E21,F21)</f>
        <v/>
      </c>
      <c r="C21" s="7" t="n">
        <v>209688.53</v>
      </c>
      <c r="D21" s="7" t="n">
        <v>210030</v>
      </c>
      <c r="E21" s="7" t="n">
        <v>209688.53</v>
      </c>
      <c r="F21" s="7" t="n">
        <v>210030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>
        <f>SUM(C22,D22,E22,F22)</f>
        <v/>
      </c>
      <c r="C22" s="7" t="n">
        <v>294494.09</v>
      </c>
      <c r="D22" s="7" t="n">
        <v>258000</v>
      </c>
      <c r="E22" s="7" t="n">
        <v>294494.09</v>
      </c>
      <c r="F22" s="7" t="n">
        <v>258000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>
        <f>SUM(C23,D23,E23,F23)</f>
        <v/>
      </c>
      <c r="C23" s="7" t="n">
        <v>19188.5</v>
      </c>
      <c r="D23" s="7" t="n">
        <v>64800</v>
      </c>
      <c r="E23" s="7" t="n">
        <v>19188.5</v>
      </c>
      <c r="F23" s="7" t="n">
        <v>42000</v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>
        <f>SUM(C24,D24,E24,F24)</f>
        <v/>
      </c>
      <c r="C24" s="7" t="n">
        <v>13380.59</v>
      </c>
      <c r="D24" s="7" t="n">
        <v>5012.59</v>
      </c>
      <c r="E24" s="7" t="n">
        <v>13380.59</v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>
        <f>SUM(C25,D25,E25,F25)</f>
        <v/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>
        <f>SUM(C26,D26,E26,F26)</f>
        <v/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>
        <f>SUM(C27,D27,E27,F27)</f>
        <v/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>
        <f>SUM(C28,D28,E28,F28)</f>
        <v/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>
        <f>SUM(C29,D29,E29,F29)</f>
        <v/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>
        <f>SUM(C30,D30,E30,F30)</f>
        <v/>
      </c>
      <c r="C30" s="7" t="n">
        <v>1019</v>
      </c>
      <c r="D30" s="7" t="inlineStr">
        <is>
          <t>-</t>
        </is>
      </c>
      <c r="E30" s="7" t="n">
        <v>1019</v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>
        <f>SUM(C31,D31,E31,F31)</f>
        <v/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>
        <f>SUM(C32,D32,E32,F32)</f>
        <v/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>
        <f>SUM(C33,D33,E33,F33)</f>
        <v/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>
        <f>SUM(B35,B36,B37,B38,B39,B40,B41,B42)</f>
        <v/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 t="inlineStr">
        <is>
          <t>-</t>
        </is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>
        <f>SUM(C35,D35,E35,F35)</f>
        <v/>
      </c>
      <c r="C35" s="7" t="n">
        <v>10000</v>
      </c>
      <c r="D35" s="7" t="n">
        <v>7500</v>
      </c>
      <c r="E35" s="7" t="n">
        <v>10000</v>
      </c>
      <c r="F35" s="7" t="n">
        <v>2500</v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>
        <f>SUM(C36,D36,E36,F36)</f>
        <v/>
      </c>
      <c r="C36" s="7" t="n">
        <v>60000</v>
      </c>
      <c r="D36" s="7" t="n">
        <v>60000</v>
      </c>
      <c r="E36" s="7" t="n">
        <v>60000</v>
      </c>
      <c r="F36" s="7" t="n">
        <v>60000</v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>
        <f>SUM(C37,D37,E37,F37)</f>
        <v/>
      </c>
      <c r="C37" s="7" t="n">
        <v>2000</v>
      </c>
      <c r="D37" s="7" t="n">
        <v>1000</v>
      </c>
      <c r="E37" s="7" t="n">
        <v>2000</v>
      </c>
      <c r="F37" s="7" t="n">
        <v>1000</v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>
        <f>SUM(C38,D38,E38,F38)</f>
        <v/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>
        <f>SUM(C39,D39,E39,F39)</f>
        <v/>
      </c>
      <c r="C39" s="7" t="n">
        <v>26500</v>
      </c>
      <c r="D39" s="7" t="n">
        <v>36960</v>
      </c>
      <c r="E39" s="7" t="n">
        <v>26500</v>
      </c>
      <c r="F39" s="7" t="n">
        <v>36960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>
        <f>SUM(C40,D40,E40,F40)</f>
        <v/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>
        <f>SUM(C41,D41,E41,F41)</f>
        <v/>
      </c>
      <c r="C41" s="7" t="n">
        <v>1000</v>
      </c>
      <c r="D41" s="7" t="inlineStr">
        <is>
          <t>-</t>
        </is>
      </c>
      <c r="E41" s="7" t="n">
        <v>1000</v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>
        <f>SUM(C42,D42,E42,F42)</f>
        <v/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>
        <f>B4-B10</f>
        <v/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 t="inlineStr">
        <is>
          <t>-</t>
        </is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>
        <f>IFERROR(IF(B4=0,"-",B43/B4),"-")</f>
        <v/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 t="inlineStr">
        <is>
          <t>-</t>
        </is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>
        <f>SUM(B46,B47,B48,B52,B56,B57,B58,B59,B60,B63,B64,B65,B66,B67,B68,B69,B70,B71,B72,B73,B74,B75,B76,B77,B78,B79)</f>
        <v/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 t="inlineStr">
        <is>
          <t>-</t>
        </is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>
        <f>SUM(C46,D46,E46,F46)</f>
        <v/>
      </c>
      <c r="C46" s="7" t="n">
        <v>55821.21</v>
      </c>
      <c r="D46" s="7" t="n">
        <v>84919.2</v>
      </c>
      <c r="E46" s="7" t="n">
        <v>55821.21</v>
      </c>
      <c r="F46" s="7" t="n">
        <v>84919.2</v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>
        <f>SUM(C47,D47,E47,F47)</f>
        <v/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>
        <f>SUM(B49,B50,B51)</f>
        <v/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 t="inlineStr">
        <is>
          <t>-</t>
        </is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>
        <f>SUM(C49,D49,E49,F49)</f>
        <v/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>
        <f>SUM(C50,D50,E50,F50)</f>
        <v/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>
        <f>SUM(C51,D51,E51,F51)</f>
        <v/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>
        <f>SUM(B53,B54,B55)</f>
        <v/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 t="inlineStr">
        <is>
          <t>-</t>
        </is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>
        <f>SUM(C53,D53,E53,F53)</f>
        <v/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>
        <f>SUM(C54,D54,E54,F54)</f>
        <v/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>
        <f>SUM(C55,D55,E55,F55)</f>
        <v/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>
        <f>SUM(C56,D56,E56,F56)</f>
        <v/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>
        <f>SUM(C57,D57,E57,F57)</f>
        <v/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>
        <f>SUM(C58,D58,E58,F58)</f>
        <v/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>
        <f>SUM(C59,D59,E59,F59)</f>
        <v/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>
        <f>SUM(B61,B62)</f>
        <v/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 t="inlineStr">
        <is>
          <t>-</t>
        </is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>
        <f>SUM(C61,D61,E61,F61)</f>
        <v/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>
        <f>SUM(C62,D62,E62,F62)</f>
        <v/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>
        <f>SUM(C63,D63,E63,F63)</f>
        <v/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>
        <f>SUM(C64,D64,E64,F64)</f>
        <v/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>
        <f>SUM(C65,D65,E65,F65)</f>
        <v/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>
        <f>SUM(C66,D66,E66,F66)</f>
        <v/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>
        <f>SUM(C67,D67,E67,F67)</f>
        <v/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>
        <f>SUM(C68,D68,E68,F68)</f>
        <v/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>
        <f>SUM(C69,D69,E69,F69)</f>
        <v/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>
        <f>SUM(C70,D70,E70,F70)</f>
        <v/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>
        <f>SUM(C71,D71,E71,F71)</f>
        <v/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>
        <f>SUM(C72,D72,E72,F72)</f>
        <v/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>
        <f>SUM(C73,D73,E73,F73)</f>
        <v/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>
        <f>SUM(C74,D74,E74,F74)</f>
        <v/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>
        <f>SUM(C75,D75,E75,F75)</f>
        <v/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>
        <f>SUM(C76,D76,E76,F76)</f>
        <v/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>
        <f>SUM(C77,D77,E77,F77)</f>
        <v/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>
        <f>SUM(C78,D78,E78,F78)</f>
        <v/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>
        <f>SUM(C79,D79,E79,F79)</f>
        <v/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>
        <f>B43-B45</f>
        <v/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 t="inlineStr">
        <is>
          <t>-</t>
        </is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>
        <f>IFERROR(IF(B4=0,"-",B80/B4),"-")</f>
        <v/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 t="inlineStr">
        <is>
          <t>-</t>
        </is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>
        <f>SUM(B83,B84,B85,B86)</f>
        <v/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 t="inlineStr">
        <is>
          <t>-</t>
        </is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>
        <f>SUM(C83,D83,E83,F83)</f>
        <v/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>
        <f>SUM(C84,D84,E84,F84)</f>
        <v/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>
        <f>SUM(C85,D85,E85,F85)</f>
        <v/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>
        <f>SUM(C86,D86,E86,F86)</f>
        <v/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>
        <f>SUM(B88)</f>
        <v/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 t="inlineStr">
        <is>
          <t>-</t>
        </is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>
        <f>SUM(C88,D88,E88,F88)</f>
        <v/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>
        <f>B80+IFERROR(B82*1,0)-IFERROR(B87*1,0)</f>
        <v/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 t="inlineStr">
        <is>
          <t>-</t>
        </is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>
        <f>IFERROR(IF(B4=0,"-",B89/B4),"-")</f>
        <v/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 t="inlineStr">
        <is>
          <t>-</t>
        </is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>
        <f>SUM(B92,B93)</f>
        <v/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 t="inlineStr">
        <is>
          <t>-</t>
        </is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>
        <f>SUM(C92,D92,E92,F92)</f>
        <v/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>
        <f>SUM(C93,D93,E93,F93)</f>
        <v/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>
        <f>SUM(C94,D94,E94,F94)</f>
        <v/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>
        <f>SUM(B96,B97)</f>
        <v/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 t="inlineStr">
        <is>
          <t>-</t>
        </is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>
        <f>SUM(C96,D96,E96,F96)</f>
        <v/>
      </c>
      <c r="C96" s="7" t="inlineStr">
        <is>
          <t>-</t>
        </is>
      </c>
      <c r="D96" s="7" t="n">
        <v>10000</v>
      </c>
      <c r="E96" s="7" t="inlineStr">
        <is>
          <t>-</t>
        </is>
      </c>
      <c r="F96" s="7" t="n">
        <v>10000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>
        <f>SUM(C97,D97,E97,F97)</f>
        <v/>
      </c>
      <c r="C97" s="7" t="n">
        <v>38678.65</v>
      </c>
      <c r="D97" s="7" t="n">
        <v>31140.99</v>
      </c>
      <c r="E97" s="7" t="n">
        <v>38678.65</v>
      </c>
      <c r="F97" s="7" t="n">
        <v>31140.99</v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>
        <f>IFERROR(B89*1,0)-IFERROR(B91*1,0)-IFERROR(B94*1,0)-IFERROR(B95*1,0)</f>
        <v/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 t="inlineStr">
        <is>
          <t>-</t>
        </is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>
        <f>IFERROR(IF(B4=0,"-",B98/B4),"-")</f>
        <v/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 t="inlineStr">
        <is>
          <t>-</t>
        </is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Курортный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>
        <f>SUM(B5,B6)</f>
        <v/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 t="inlineStr">
        <is>
          <t>-</t>
        </is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>
        <f>SUM(C5,D5,E5,F5)</f>
        <v/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>
        <f>SUM(B7,B8,B9)</f>
        <v/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 t="inlineStr">
        <is>
          <t>-</t>
        </is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>
        <f>SUM(C7,D7,E7,F7)</f>
        <v/>
      </c>
      <c r="C7" s="7" t="n">
        <v>1299347.83</v>
      </c>
      <c r="D7" s="7" t="n">
        <v>1299347.83</v>
      </c>
      <c r="E7" s="7" t="n">
        <v>1299347.83</v>
      </c>
      <c r="F7" s="7" t="n">
        <v>1299347.83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>
        <f>SUM(C8,D8,E8,F8)</f>
        <v/>
      </c>
      <c r="C8" s="7" t="n">
        <v>772382</v>
      </c>
      <c r="D8" s="7" t="n">
        <v>661260</v>
      </c>
      <c r="E8" s="7" t="n">
        <v>661260.6899999999</v>
      </c>
      <c r="F8" s="7" t="n">
        <v>661260.6899999999</v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>
        <f>SUM(C9,D9,E9,F9)</f>
        <v/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>
        <f>SUM(B11,B12,B13,B21,B22,B23,B24,B25,B26,B27,B28,B29,B30,B31,B32,B33,B34)</f>
        <v/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 t="inlineStr">
        <is>
          <t>-</t>
        </is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>
        <f>SUM(C11,D11,E11,F11)</f>
        <v/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>
        <f>SUM(C12,D12,E12,F12)</f>
        <v/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>
        <f>SUM(B14,B15,B16,B17,B18,B19,B20)</f>
        <v/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 t="inlineStr">
        <is>
          <t>-</t>
        </is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>
        <f>SUM(C14,D14,E14,F14)</f>
        <v/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>
        <f>SUM(C15,D15,E15,F15)</f>
        <v/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>
        <f>SUM(C16,D16,E16,F16)</f>
        <v/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>
        <f>SUM(C17,D17,E17,F17)</f>
        <v/>
      </c>
      <c r="C17" s="7" t="n">
        <v>10000</v>
      </c>
      <c r="D17" s="7" t="n">
        <v>10000</v>
      </c>
      <c r="E17" s="7" t="n">
        <v>10000</v>
      </c>
      <c r="F17" s="7" t="n">
        <v>10000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>
        <f>SUM(C18,D18,E18,F18)</f>
        <v/>
      </c>
      <c r="C18" s="7" t="n">
        <v>7999</v>
      </c>
      <c r="D18" s="7" t="n">
        <v>5000</v>
      </c>
      <c r="E18" s="7" t="n">
        <v>5000</v>
      </c>
      <c r="F18" s="7" t="n">
        <v>5000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>
        <f>SUM(C19,D19,E19,F19)</f>
        <v/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>
        <f>SUM(C20,D20,E20,F20)</f>
        <v/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>
        <f>SUM(C21,D21,E21,F21)</f>
        <v/>
      </c>
      <c r="C21" s="7" t="n">
        <v>695034.97</v>
      </c>
      <c r="D21" s="7" t="n">
        <v>665000</v>
      </c>
      <c r="E21" s="7" t="n">
        <v>665000</v>
      </c>
      <c r="F21" s="7" t="n">
        <v>665000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>
        <f>SUM(C22,D22,E22,F22)</f>
        <v/>
      </c>
      <c r="C22" s="7" t="n">
        <v>600000</v>
      </c>
      <c r="D22" s="7" t="n">
        <v>600000</v>
      </c>
      <c r="E22" s="7" t="n">
        <v>600000</v>
      </c>
      <c r="F22" s="7" t="n">
        <v>600000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>
        <f>SUM(C23,D23,E23,F23)</f>
        <v/>
      </c>
      <c r="C23" s="7" t="n">
        <v>60061</v>
      </c>
      <c r="D23" s="7" t="n">
        <v>79913</v>
      </c>
      <c r="E23" s="7" t="n">
        <v>79913</v>
      </c>
      <c r="F23" s="7" t="n">
        <v>79913</v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>
        <f>SUM(C24,D24,E24,F24)</f>
        <v/>
      </c>
      <c r="C24" s="7" t="n">
        <v>28000</v>
      </c>
      <c r="D24" s="7" t="n">
        <v>28000</v>
      </c>
      <c r="E24" s="7" t="n">
        <v>28000</v>
      </c>
      <c r="F24" s="7" t="n">
        <v>28000</v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>
        <f>SUM(C25,D25,E25,F25)</f>
        <v/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>
        <f>SUM(C26,D26,E26,F26)</f>
        <v/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>
        <f>SUM(C27,D27,E27,F27)</f>
        <v/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>
        <f>SUM(C28,D28,E28,F28)</f>
        <v/>
      </c>
      <c r="C28" s="7" t="n">
        <v>7069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>
        <f>SUM(C29,D29,E29,F29)</f>
        <v/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>
        <f>SUM(C30,D30,E30,F30)</f>
        <v/>
      </c>
      <c r="C30" s="7" t="n">
        <v>3000</v>
      </c>
      <c r="D30" s="7" t="n">
        <v>3000</v>
      </c>
      <c r="E30" s="7" t="n">
        <v>3000</v>
      </c>
      <c r="F30" s="7" t="n">
        <v>3000</v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>
        <f>SUM(C31,D31,E31,F31)</f>
        <v/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>
        <f>SUM(C32,D32,E32,F32)</f>
        <v/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>
        <f>SUM(C33,D33,E33,F33)</f>
        <v/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>
        <f>SUM(B35,B36,B37,B38,B39,B40,B41,B42)</f>
        <v/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 t="inlineStr">
        <is>
          <t>-</t>
        </is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>
        <f>SUM(C35,D35,E35,F35)</f>
        <v/>
      </c>
      <c r="C35" s="7" t="n">
        <v>2500</v>
      </c>
      <c r="D35" s="7" t="n">
        <v>2500</v>
      </c>
      <c r="E35" s="7" t="n">
        <v>2500</v>
      </c>
      <c r="F35" s="7" t="n">
        <v>2500</v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>
        <f>SUM(C36,D36,E36,F36)</f>
        <v/>
      </c>
      <c r="C36" s="7" t="n">
        <v>110000</v>
      </c>
      <c r="D36" s="7" t="n">
        <v>110000</v>
      </c>
      <c r="E36" s="7" t="n">
        <v>110000</v>
      </c>
      <c r="F36" s="7" t="n">
        <v>110000</v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>
        <f>SUM(C37,D37,E37,F37)</f>
        <v/>
      </c>
      <c r="C37" s="7" t="n">
        <v>3504.04</v>
      </c>
      <c r="D37" s="7" t="n">
        <v>3500</v>
      </c>
      <c r="E37" s="7" t="n">
        <v>3500</v>
      </c>
      <c r="F37" s="7" t="n">
        <v>3500</v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>
        <f>SUM(C38,D38,E38,F38)</f>
        <v/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>
        <f>SUM(C39,D39,E39,F39)</f>
        <v/>
      </c>
      <c r="C39" s="7" t="n">
        <v>95550</v>
      </c>
      <c r="D39" s="7" t="n">
        <v>95550</v>
      </c>
      <c r="E39" s="7" t="n">
        <v>95550</v>
      </c>
      <c r="F39" s="7" t="n">
        <v>95550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>
        <f>SUM(C40,D40,E40,F40)</f>
        <v/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>
        <f>SUM(C41,D41,E41,F41)</f>
        <v/>
      </c>
      <c r="C41" s="7" t="n">
        <v>4000</v>
      </c>
      <c r="D41" s="7" t="n">
        <v>4000</v>
      </c>
      <c r="E41" s="7" t="n">
        <v>4000</v>
      </c>
      <c r="F41" s="7" t="n">
        <v>4000</v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>
        <f>SUM(C42,D42,E42,F42)</f>
        <v/>
      </c>
      <c r="C42" s="7" t="n">
        <v>44440.43</v>
      </c>
      <c r="D42" s="7" t="n">
        <v>45000</v>
      </c>
      <c r="E42" s="7" t="n">
        <v>45000</v>
      </c>
      <c r="F42" s="7" t="n">
        <v>45000</v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>
        <f>B4-B10</f>
        <v/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 t="inlineStr">
        <is>
          <t>-</t>
        </is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>
        <f>IFERROR(IF(B4=0,"-",B43/B4),"-")</f>
        <v/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 t="inlineStr">
        <is>
          <t>-</t>
        </is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>
        <f>SUM(B46,B47,B48,B52,B56,B57,B58,B59,B60,B63,B64,B65,B66,B67,B68,B69,B70,B71,B72,B73,B74,B75,B76,B77,B78,B79)</f>
        <v/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 t="inlineStr">
        <is>
          <t>-</t>
        </is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>
        <f>SUM(C46,D46,E46,F46)</f>
        <v/>
      </c>
      <c r="C46" s="7" t="n">
        <v>139048.12</v>
      </c>
      <c r="D46" s="7" t="n">
        <v>139048.12</v>
      </c>
      <c r="E46" s="7" t="n">
        <v>139048.12</v>
      </c>
      <c r="F46" s="7" t="n">
        <v>139048.12</v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>
        <f>SUM(C47,D47,E47,F47)</f>
        <v/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>
        <f>SUM(B49,B50,B51)</f>
        <v/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 t="inlineStr">
        <is>
          <t>-</t>
        </is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>
        <f>SUM(C49,D49,E49,F49)</f>
        <v/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>
        <f>SUM(C50,D50,E50,F50)</f>
        <v/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>
        <f>SUM(C51,D51,E51,F51)</f>
        <v/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>
        <f>SUM(B53,B54,B55)</f>
        <v/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 t="inlineStr">
        <is>
          <t>-</t>
        </is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>
        <f>SUM(C53,D53,E53,F53)</f>
        <v/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>
        <f>SUM(C54,D54,E54,F54)</f>
        <v/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>
        <f>SUM(C55,D55,E55,F55)</f>
        <v/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>
        <f>SUM(C56,D56,E56,F56)</f>
        <v/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>
        <f>SUM(C57,D57,E57,F57)</f>
        <v/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>
        <f>SUM(C58,D58,E58,F58)</f>
        <v/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>
        <f>SUM(C59,D59,E59,F59)</f>
        <v/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>
        <f>SUM(B61,B62)</f>
        <v/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 t="inlineStr">
        <is>
          <t>-</t>
        </is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>
        <f>SUM(C61,D61,E61,F61)</f>
        <v/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>
        <f>SUM(C62,D62,E62,F62)</f>
        <v/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>
        <f>SUM(C63,D63,E63,F63)</f>
        <v/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>
        <f>SUM(C64,D64,E64,F64)</f>
        <v/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>
        <f>SUM(C65,D65,E65,F65)</f>
        <v/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>
        <f>SUM(C66,D66,E66,F66)</f>
        <v/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>
        <f>SUM(C67,D67,E67,F67)</f>
        <v/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>
        <f>SUM(C68,D68,E68,F68)</f>
        <v/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>
        <f>SUM(C69,D69,E69,F69)</f>
        <v/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>
        <f>SUM(C70,D70,E70,F70)</f>
        <v/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>
        <f>SUM(C71,D71,E71,F71)</f>
        <v/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>
        <f>SUM(C72,D72,E72,F72)</f>
        <v/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>
        <f>SUM(C73,D73,E73,F73)</f>
        <v/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>
        <f>SUM(C74,D74,E74,F74)</f>
        <v/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>
        <f>SUM(C75,D75,E75,F75)</f>
        <v/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>
        <f>SUM(C76,D76,E76,F76)</f>
        <v/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>
        <f>SUM(C77,D77,E77,F77)</f>
        <v/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>
        <f>SUM(C78,D78,E78,F78)</f>
        <v/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>
        <f>SUM(C79,D79,E79,F79)</f>
        <v/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>
        <f>B43-B45</f>
        <v/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 t="inlineStr">
        <is>
          <t>-</t>
        </is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>
        <f>IFERROR(IF(B4=0,"-",B80/B4),"-")</f>
        <v/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 t="inlineStr">
        <is>
          <t>-</t>
        </is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>
        <f>SUM(B83,B84,B85,B86)</f>
        <v/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 t="inlineStr">
        <is>
          <t>-</t>
        </is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>
        <f>SUM(C83,D83,E83,F83)</f>
        <v/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>
        <f>SUM(C84,D84,E84,F84)</f>
        <v/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>
        <f>SUM(C85,D85,E85,F85)</f>
        <v/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>
        <f>SUM(C86,D86,E86,F86)</f>
        <v/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>
        <f>SUM(B88)</f>
        <v/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 t="inlineStr">
        <is>
          <t>-</t>
        </is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>
        <f>SUM(C88,D88,E88,F88)</f>
        <v/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>
        <f>B80+IFERROR(B82*1,0)-IFERROR(B87*1,0)</f>
        <v/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 t="inlineStr">
        <is>
          <t>-</t>
        </is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>
        <f>IFERROR(IF(B4=0,"-",B89/B4),"-")</f>
        <v/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 t="inlineStr">
        <is>
          <t>-</t>
        </is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>
        <f>SUM(B92,B93)</f>
        <v/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 t="inlineStr">
        <is>
          <t>-</t>
        </is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>
        <f>SUM(C92,D92,E92,F92)</f>
        <v/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>
        <f>SUM(C93,D93,E93,F93)</f>
        <v/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>
        <f>SUM(C94,D94,E94,F94)</f>
        <v/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>
        <f>SUM(B96,B97)</f>
        <v/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 t="inlineStr">
        <is>
          <t>-</t>
        </is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>
        <f>SUM(C96,D96,E96,F96)</f>
        <v/>
      </c>
      <c r="C96" s="7" t="n">
        <v>28000</v>
      </c>
      <c r="D96" s="7" t="n">
        <v>28000</v>
      </c>
      <c r="E96" s="7" t="n">
        <v>28000</v>
      </c>
      <c r="F96" s="7" t="n">
        <v>28000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>
        <f>SUM(C97,D97,E97,F97)</f>
        <v/>
      </c>
      <c r="C97" s="7" t="n">
        <v>94590.32000000001</v>
      </c>
      <c r="D97" s="7" t="n">
        <v>94590.32000000001</v>
      </c>
      <c r="E97" s="7" t="n">
        <v>94590.32000000001</v>
      </c>
      <c r="F97" s="7" t="n">
        <v>94590.32000000001</v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>
        <f>IFERROR(B89*1,0)-IFERROR(B91*1,0)-IFERROR(B94*1,0)-IFERROR(B95*1,0)</f>
        <v/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 t="inlineStr">
        <is>
          <t>-</t>
        </is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>
        <f>IFERROR(IF(B4=0,"-",B98/B4),"-")</f>
        <v/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 t="inlineStr">
        <is>
          <t>-</t>
        </is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Новое Колпино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>
        <f>SUM(B5,B6)</f>
        <v/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 t="inlineStr">
        <is>
          <t>-</t>
        </is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>
        <f>SUM(C5,D5,E5,F5)</f>
        <v/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>
        <f>SUM(B7,B8,B9)</f>
        <v/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 t="inlineStr">
        <is>
          <t>-</t>
        </is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>
        <f>SUM(C7,D7,E7,F7)</f>
        <v/>
      </c>
      <c r="C7" s="7" t="n">
        <v>2759091.96</v>
      </c>
      <c r="D7" s="7" t="n">
        <v>2472043.9</v>
      </c>
      <c r="E7" s="7" t="n">
        <v>2472043.9</v>
      </c>
      <c r="F7" s="7" t="n">
        <v>2472043.9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>
        <f>SUM(C8,D8,E8,F8)</f>
        <v/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>
        <f>SUM(C9,D9,E9,F9)</f>
        <v/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>
        <f>SUM(B11,B12,B13,B21,B22,B23,B24,B25,B26,B27,B28,B29,B30,B31,B32,B33,B34)</f>
        <v/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 t="inlineStr">
        <is>
          <t>-</t>
        </is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>
        <f>SUM(C11,D11,E11,F11)</f>
        <v/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>
        <f>SUM(C12,D12,E12,F12)</f>
        <v/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>
        <f>SUM(B14,B15,B16,B17,B18,B19,B20)</f>
        <v/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 t="inlineStr">
        <is>
          <t>-</t>
        </is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>
        <f>SUM(C14,D14,E14,F14)</f>
        <v/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>
        <f>SUM(C15,D15,E15,F15)</f>
        <v/>
      </c>
      <c r="C15" s="7" t="n">
        <v>88000</v>
      </c>
      <c r="D15" s="7" t="n">
        <v>88000</v>
      </c>
      <c r="E15" s="7" t="n">
        <v>88000</v>
      </c>
      <c r="F15" s="7" t="n">
        <v>88000</v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>
        <f>SUM(C16,D16,E16,F16)</f>
        <v/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>
        <f>SUM(C17,D17,E17,F17)</f>
        <v/>
      </c>
      <c r="C17" s="7" t="n">
        <v>43810.13</v>
      </c>
      <c r="D17" s="7" t="n">
        <v>30000</v>
      </c>
      <c r="E17" s="7" t="n">
        <v>30000</v>
      </c>
      <c r="F17" s="7" t="n">
        <v>30000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>
        <f>SUM(C18,D18,E18,F18)</f>
        <v/>
      </c>
      <c r="C18" s="7" t="n">
        <v>5901.4</v>
      </c>
      <c r="D18" s="7" t="n">
        <v>60000</v>
      </c>
      <c r="E18" s="7" t="n">
        <v>10000</v>
      </c>
      <c r="F18" s="7" t="n">
        <v>10000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>
        <f>SUM(C19,D19,E19,F19)</f>
        <v/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>
        <f>SUM(C20,D20,E20,F20)</f>
        <v/>
      </c>
      <c r="C20" s="7" t="inlineStr">
        <is>
          <t>-</t>
        </is>
      </c>
      <c r="D20" s="7" t="n">
        <v>30000</v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>
        <f>SUM(C21,D21,E21,F21)</f>
        <v/>
      </c>
      <c r="C21" s="7" t="n">
        <v>685000</v>
      </c>
      <c r="D21" s="7" t="n">
        <v>685000</v>
      </c>
      <c r="E21" s="7" t="n">
        <v>685000</v>
      </c>
      <c r="F21" s="7" t="n">
        <v>685000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>
        <f>SUM(C22,D22,E22,F22)</f>
        <v/>
      </c>
      <c r="C22" s="7" t="n">
        <v>958084.67</v>
      </c>
      <c r="D22" s="7" t="n">
        <v>920000</v>
      </c>
      <c r="E22" s="7" t="n">
        <v>920000</v>
      </c>
      <c r="F22" s="7" t="n">
        <v>920000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>
        <f>SUM(C23,D23,E23,F23)</f>
        <v/>
      </c>
      <c r="C23" s="7" t="n">
        <v>28000</v>
      </c>
      <c r="D23" s="7" t="n">
        <v>28000</v>
      </c>
      <c r="E23" s="7" t="n">
        <v>28000</v>
      </c>
      <c r="F23" s="7" t="n">
        <v>28000</v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>
        <f>SUM(C24,D24,E24,F24)</f>
        <v/>
      </c>
      <c r="C24" s="7" t="n">
        <v>143705</v>
      </c>
      <c r="D24" s="7" t="n">
        <v>143705</v>
      </c>
      <c r="E24" s="7" t="n">
        <v>143705</v>
      </c>
      <c r="F24" s="7" t="n">
        <v>143705</v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>
        <f>SUM(C25,D25,E25,F25)</f>
        <v/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>
        <f>SUM(C26,D26,E26,F26)</f>
        <v/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>
        <f>SUM(C27,D27,E27,F27)</f>
        <v/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>
        <f>SUM(C28,D28,E28,F28)</f>
        <v/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>
        <f>SUM(C29,D29,E29,F29)</f>
        <v/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>
        <f>SUM(C30,D30,E30,F30)</f>
        <v/>
      </c>
      <c r="C30" s="7" t="n">
        <v>3000</v>
      </c>
      <c r="D30" s="7" t="n">
        <v>3000</v>
      </c>
      <c r="E30" s="7" t="n">
        <v>3000</v>
      </c>
      <c r="F30" s="7" t="n">
        <v>3000</v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>
        <f>SUM(C31,D31,E31,F31)</f>
        <v/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>
        <f>SUM(C32,D32,E32,F32)</f>
        <v/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>
        <f>SUM(C33,D33,E33,F33)</f>
        <v/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>
        <f>SUM(B35,B36,B37,B38,B39,B40,B41,B42)</f>
        <v/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 t="inlineStr">
        <is>
          <t>-</t>
        </is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>
        <f>SUM(C35,D35,E35,F35)</f>
        <v/>
      </c>
      <c r="C35" s="7" t="n">
        <v>5000</v>
      </c>
      <c r="D35" s="7" t="n">
        <v>5000</v>
      </c>
      <c r="E35" s="7" t="n">
        <v>5000</v>
      </c>
      <c r="F35" s="7" t="n">
        <v>5000</v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>
        <f>SUM(C36,D36,E36,F36)</f>
        <v/>
      </c>
      <c r="C36" s="7" t="n">
        <v>100000</v>
      </c>
      <c r="D36" s="7" t="n">
        <v>100000</v>
      </c>
      <c r="E36" s="7" t="n">
        <v>100000</v>
      </c>
      <c r="F36" s="7" t="n">
        <v>100000</v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>
        <f>SUM(C37,D37,E37,F37)</f>
        <v/>
      </c>
      <c r="C37" s="7" t="n">
        <v>5000</v>
      </c>
      <c r="D37" s="7" t="n">
        <v>5000</v>
      </c>
      <c r="E37" s="7" t="n">
        <v>5000</v>
      </c>
      <c r="F37" s="7" t="n">
        <v>5000</v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>
        <f>SUM(C38,D38,E38,F38)</f>
        <v/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>
        <f>SUM(C39,D39,E39,F39)</f>
        <v/>
      </c>
      <c r="C39" s="7" t="n">
        <v>119350</v>
      </c>
      <c r="D39" s="7" t="n">
        <v>119350</v>
      </c>
      <c r="E39" s="7" t="n">
        <v>119350</v>
      </c>
      <c r="F39" s="7" t="n">
        <v>119350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>
        <f>SUM(C40,D40,E40,F40)</f>
        <v/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>
        <f>SUM(C41,D41,E41,F41)</f>
        <v/>
      </c>
      <c r="C41" s="7" t="n">
        <v>2000</v>
      </c>
      <c r="D41" s="7" t="n">
        <v>2000</v>
      </c>
      <c r="E41" s="7" t="n">
        <v>2000</v>
      </c>
      <c r="F41" s="7" t="n">
        <v>2000</v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>
        <f>SUM(C42,D42,E42,F42)</f>
        <v/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>
        <f>B4-B10</f>
        <v/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 t="inlineStr">
        <is>
          <t>-</t>
        </is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>
        <f>IFERROR(IF(B4=0,"-",B43/B4),"-")</f>
        <v/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 t="inlineStr">
        <is>
          <t>-</t>
        </is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>
        <f>SUM(B46,B47,B48,B52,B56,B57,B58,B59,B60,B63,B64,B65,B66,B67,B68,B69,B70,B71,B72,B73,B74,B75,B76,B77,B78,B79)</f>
        <v/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 t="inlineStr">
        <is>
          <t>-</t>
        </is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>
        <f>SUM(C46,D46,E46,F46)</f>
        <v/>
      </c>
      <c r="C46" s="7" t="n">
        <v>295694.29</v>
      </c>
      <c r="D46" s="7" t="n">
        <v>295694.29</v>
      </c>
      <c r="E46" s="7" t="n">
        <v>295694.29</v>
      </c>
      <c r="F46" s="7" t="n">
        <v>295694.29</v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>
        <f>SUM(C47,D47,E47,F47)</f>
        <v/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>
        <f>SUM(B49,B50,B51)</f>
        <v/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 t="inlineStr">
        <is>
          <t>-</t>
        </is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>
        <f>SUM(C49,D49,E49,F49)</f>
        <v/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>
        <f>SUM(C50,D50,E50,F50)</f>
        <v/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>
        <f>SUM(C51,D51,E51,F51)</f>
        <v/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>
        <f>SUM(B53,B54,B55)</f>
        <v/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 t="inlineStr">
        <is>
          <t>-</t>
        </is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>
        <f>SUM(C53,D53,E53,F53)</f>
        <v/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>
        <f>SUM(C54,D54,E54,F54)</f>
        <v/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>
        <f>SUM(C55,D55,E55,F55)</f>
        <v/>
      </c>
      <c r="C55" s="7" t="n">
        <v>3000</v>
      </c>
      <c r="D55" s="7" t="n">
        <v>3000</v>
      </c>
      <c r="E55" s="7" t="n">
        <v>3000</v>
      </c>
      <c r="F55" s="7" t="n">
        <v>3000</v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>
        <f>SUM(C56,D56,E56,F56)</f>
        <v/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>
        <f>SUM(C57,D57,E57,F57)</f>
        <v/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>
        <f>SUM(C58,D58,E58,F58)</f>
        <v/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>
        <f>SUM(C59,D59,E59,F59)</f>
        <v/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>
        <f>SUM(B61,B62)</f>
        <v/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 t="inlineStr">
        <is>
          <t>-</t>
        </is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>
        <f>SUM(C61,D61,E61,F61)</f>
        <v/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>
        <f>SUM(C62,D62,E62,F62)</f>
        <v/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>
        <f>SUM(C63,D63,E63,F63)</f>
        <v/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>
        <f>SUM(C64,D64,E64,F64)</f>
        <v/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>
        <f>SUM(C65,D65,E65,F65)</f>
        <v/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>
        <f>SUM(C66,D66,E66,F66)</f>
        <v/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>
        <f>SUM(C67,D67,E67,F67)</f>
        <v/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>
        <f>SUM(C68,D68,E68,F68)</f>
        <v/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>
        <f>SUM(C69,D69,E69,F69)</f>
        <v/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>
        <f>SUM(C70,D70,E70,F70)</f>
        <v/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>
        <f>SUM(C71,D71,E71,F71)</f>
        <v/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>
        <f>SUM(C72,D72,E72,F72)</f>
        <v/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>
        <f>SUM(C73,D73,E73,F73)</f>
        <v/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>
        <f>SUM(C74,D74,E74,F74)</f>
        <v/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>
        <f>SUM(C75,D75,E75,F75)</f>
        <v/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>
        <f>SUM(C76,D76,E76,F76)</f>
        <v/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>
        <f>SUM(C77,D77,E77,F77)</f>
        <v/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>
        <f>SUM(C78,D78,E78,F78)</f>
        <v/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>
        <f>SUM(C79,D79,E79,F79)</f>
        <v/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>
        <f>B43-B45</f>
        <v/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 t="inlineStr">
        <is>
          <t>-</t>
        </is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>
        <f>IFERROR(IF(B4=0,"-",B80/B4),"-")</f>
        <v/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 t="inlineStr">
        <is>
          <t>-</t>
        </is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>
        <f>SUM(B83,B84,B85,B86)</f>
        <v/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 t="inlineStr">
        <is>
          <t>-</t>
        </is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>
        <f>SUM(C83,D83,E83,F83)</f>
        <v/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>
        <f>SUM(C84,D84,E84,F84)</f>
        <v/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>
        <f>SUM(C85,D85,E85,F85)</f>
        <v/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>
        <f>SUM(C86,D86,E86,F86)</f>
        <v/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>
        <f>SUM(B88)</f>
        <v/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 t="inlineStr">
        <is>
          <t>-</t>
        </is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>
        <f>SUM(C88,D88,E88,F88)</f>
        <v/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>
        <f>B80+IFERROR(B82*1,0)-IFERROR(B87*1,0)</f>
        <v/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 t="inlineStr">
        <is>
          <t>-</t>
        </is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>
        <f>IFERROR(IF(B4=0,"-",B89/B4),"-")</f>
        <v/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 t="inlineStr">
        <is>
          <t>-</t>
        </is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>
        <f>SUM(B92,B93)</f>
        <v/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 t="inlineStr">
        <is>
          <t>-</t>
        </is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>
        <f>SUM(C92,D92,E92,F92)</f>
        <v/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>
        <f>SUM(C93,D93,E93,F93)</f>
        <v/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>
        <f>SUM(C94,D94,E94,F94)</f>
        <v/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>
        <f>SUM(B96,B97)</f>
        <v/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 t="inlineStr">
        <is>
          <t>-</t>
        </is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>
        <f>SUM(C96,D96,E96,F96)</f>
        <v/>
      </c>
      <c r="C96" s="7" t="n">
        <v>42000</v>
      </c>
      <c r="D96" s="7" t="n">
        <v>42000</v>
      </c>
      <c r="E96" s="7" t="n">
        <v>42000</v>
      </c>
      <c r="F96" s="7" t="n">
        <v>42000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>
        <f>SUM(C97,D97,E97,F97)</f>
        <v/>
      </c>
      <c r="C97" s="7" t="n">
        <v>117716.37</v>
      </c>
      <c r="D97" s="7" t="n">
        <v>117716.37</v>
      </c>
      <c r="E97" s="7" t="n">
        <v>117716.37</v>
      </c>
      <c r="F97" s="7" t="n">
        <v>117716.37</v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>
        <f>IFERROR(B89*1,0)-IFERROR(B91*1,0)-IFERROR(B94*1,0)-IFERROR(B95*1,0)</f>
        <v/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 t="inlineStr">
        <is>
          <t>-</t>
        </is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>
        <f>IFERROR(IF(B4=0,"-",B98/B4),"-")</f>
        <v/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 t="inlineStr">
        <is>
          <t>-</t>
        </is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Таллинский парк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>
        <f>SUM(B5,B6)</f>
        <v/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 t="inlineStr">
        <is>
          <t>-</t>
        </is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>
        <f>SUM(C5,D5,E5,F5)</f>
        <v/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>
        <f>SUM(B7,B8,B9)</f>
        <v/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 t="inlineStr">
        <is>
          <t>-</t>
        </is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>
        <f>SUM(C7,D7,E7,F7)</f>
        <v/>
      </c>
      <c r="C7" s="7" t="n">
        <v>1599464.23</v>
      </c>
      <c r="D7" s="7" t="n">
        <v>1599464.23</v>
      </c>
      <c r="E7" s="7" t="n">
        <v>1599464.23</v>
      </c>
      <c r="F7" s="7" t="n">
        <v>1599464.23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>
        <f>SUM(C8,D8,E8,F8)</f>
        <v/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>
        <f>SUM(C9,D9,E9,F9)</f>
        <v/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>
        <f>SUM(B11,B12,B13,B21,B22,B23,B24,B25,B26,B27,B28,B29,B30,B31,B32,B33,B34)</f>
        <v/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 t="inlineStr">
        <is>
          <t>-</t>
        </is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>
        <f>SUM(C11,D11,E11,F11)</f>
        <v/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>
        <f>SUM(C12,D12,E12,F12)</f>
        <v/>
      </c>
      <c r="C12" s="7" t="n">
        <v>15000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>
        <f>SUM(B14,B15,B16,B17,B18,B19,B20)</f>
        <v/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 t="inlineStr">
        <is>
          <t>-</t>
        </is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>
        <f>SUM(C14,D14,E14,F14)</f>
        <v/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>
        <f>SUM(C15,D15,E15,F15)</f>
        <v/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>
        <f>SUM(C16,D16,E16,F16)</f>
        <v/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>
        <f>SUM(C17,D17,E17,F17)</f>
        <v/>
      </c>
      <c r="C17" s="7" t="n">
        <v>525</v>
      </c>
      <c r="D17" s="7" t="n">
        <v>3000</v>
      </c>
      <c r="E17" s="7" t="n">
        <v>3000</v>
      </c>
      <c r="F17" s="7" t="n">
        <v>3000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>
        <f>SUM(C18,D18,E18,F18)</f>
        <v/>
      </c>
      <c r="C18" s="7" t="n">
        <v>33381</v>
      </c>
      <c r="D18" s="7" t="n">
        <v>5000</v>
      </c>
      <c r="E18" s="7" t="n">
        <v>5000</v>
      </c>
      <c r="F18" s="7" t="n">
        <v>5000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>
        <f>SUM(C19,D19,E19,F19)</f>
        <v/>
      </c>
      <c r="C19" s="7" t="n">
        <v>18000</v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>
        <f>SUM(C20,D20,E20,F20)</f>
        <v/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>
        <f>SUM(C21,D21,E21,F21)</f>
        <v/>
      </c>
      <c r="C21" s="7" t="n">
        <v>264000</v>
      </c>
      <c r="D21" s="7" t="n">
        <v>264000</v>
      </c>
      <c r="E21" s="7" t="n">
        <v>264000</v>
      </c>
      <c r="F21" s="7" t="n">
        <v>264000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>
        <f>SUM(C22,D22,E22,F22)</f>
        <v/>
      </c>
      <c r="C22" s="7" t="n">
        <v>532778</v>
      </c>
      <c r="D22" s="7" t="n">
        <v>350000</v>
      </c>
      <c r="E22" s="7" t="n">
        <v>350000</v>
      </c>
      <c r="F22" s="7" t="n">
        <v>350000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>
        <f>SUM(C23,D23,E23,F23)</f>
        <v/>
      </c>
      <c r="C23" s="7" t="n">
        <v>11052.57</v>
      </c>
      <c r="D23" s="7" t="n">
        <v>14000</v>
      </c>
      <c r="E23" s="7" t="n">
        <v>14000</v>
      </c>
      <c r="F23" s="7" t="n">
        <v>14000</v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>
        <f>SUM(C24,D24,E24,F24)</f>
        <v/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>
        <f>SUM(C25,D25,E25,F25)</f>
        <v/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>
        <f>SUM(C26,D26,E26,F26)</f>
        <v/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>
        <f>SUM(C27,D27,E27,F27)</f>
        <v/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>
        <f>SUM(C28,D28,E28,F28)</f>
        <v/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>
        <f>SUM(C29,D29,E29,F29)</f>
        <v/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>
        <f>SUM(C30,D30,E30,F30)</f>
        <v/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>
        <f>SUM(C31,D31,E31,F31)</f>
        <v/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>
        <f>SUM(C32,D32,E32,F32)</f>
        <v/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>
        <f>SUM(C33,D33,E33,F33)</f>
        <v/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>
        <f>SUM(B35,B36,B37,B38,B39,B40,B41,B42)</f>
        <v/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 t="inlineStr">
        <is>
          <t>-</t>
        </is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>
        <f>SUM(C35,D35,E35,F35)</f>
        <v/>
      </c>
      <c r="C35" s="7" t="n">
        <v>12500</v>
      </c>
      <c r="D35" s="7" t="n">
        <v>10000</v>
      </c>
      <c r="E35" s="7" t="n">
        <v>5000</v>
      </c>
      <c r="F35" s="7" t="n">
        <v>5000</v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>
        <f>SUM(C36,D36,E36,F36)</f>
        <v/>
      </c>
      <c r="C36" s="7" t="n">
        <v>120000</v>
      </c>
      <c r="D36" s="7" t="n">
        <v>120000</v>
      </c>
      <c r="E36" s="7" t="n">
        <v>120000</v>
      </c>
      <c r="F36" s="7" t="n">
        <v>120000</v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>
        <f>SUM(C37,D37,E37,F37)</f>
        <v/>
      </c>
      <c r="C37" s="7" t="n">
        <v>2000</v>
      </c>
      <c r="D37" s="7" t="n">
        <v>2000</v>
      </c>
      <c r="E37" s="7" t="n">
        <v>2000</v>
      </c>
      <c r="F37" s="7" t="n">
        <v>2000</v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>
        <f>SUM(C38,D38,E38,F38)</f>
        <v/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>
        <f>SUM(C39,D39,E39,F39)</f>
        <v/>
      </c>
      <c r="C39" s="7" t="n">
        <v>51450</v>
      </c>
      <c r="D39" s="7" t="n">
        <v>51450</v>
      </c>
      <c r="E39" s="7" t="n">
        <v>51450</v>
      </c>
      <c r="F39" s="7" t="n">
        <v>51450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>
        <f>SUM(C40,D40,E40,F40)</f>
        <v/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>
        <f>SUM(C41,D41,E41,F41)</f>
        <v/>
      </c>
      <c r="C41" s="7" t="n">
        <v>2000</v>
      </c>
      <c r="D41" s="7" t="n">
        <v>2000</v>
      </c>
      <c r="E41" s="7" t="n">
        <v>2000</v>
      </c>
      <c r="F41" s="7" t="n">
        <v>2000</v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>
        <f>SUM(C42,D42,E42,F42)</f>
        <v/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>
        <f>B4-B10</f>
        <v/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 t="inlineStr">
        <is>
          <t>-</t>
        </is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>
        <f>IFERROR(IF(B4=0,"-",B43/B4),"-")</f>
        <v/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 t="inlineStr">
        <is>
          <t>-</t>
        </is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>
        <f>SUM(B46,B47,B48,B52,B56,B57,B58,B59,B60,B63,B64,B65,B66,B67,B68,B69,B70,B71,B72,B73,B74,B75,B76,B77,B78,B79)</f>
        <v/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 t="inlineStr">
        <is>
          <t>-</t>
        </is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>
        <f>SUM(C46,D46,E46,F46)</f>
        <v/>
      </c>
      <c r="C46" s="7" t="n">
        <v>98555.62</v>
      </c>
      <c r="D46" s="7" t="n">
        <v>98555.62</v>
      </c>
      <c r="E46" s="7" t="n">
        <v>98555.62</v>
      </c>
      <c r="F46" s="7" t="n">
        <v>98555.62</v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>
        <f>SUM(C47,D47,E47,F47)</f>
        <v/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>
        <f>SUM(B49,B50,B51)</f>
        <v/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 t="inlineStr">
        <is>
          <t>-</t>
        </is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>
        <f>SUM(C49,D49,E49,F49)</f>
        <v/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>
        <f>SUM(C50,D50,E50,F50)</f>
        <v/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>
        <f>SUM(C51,D51,E51,F51)</f>
        <v/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>
        <f>SUM(B53,B54,B55)</f>
        <v/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 t="inlineStr">
        <is>
          <t>-</t>
        </is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>
        <f>SUM(C53,D53,E53,F53)</f>
        <v/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>
        <f>SUM(C54,D54,E54,F54)</f>
        <v/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>
        <f>SUM(C55,D55,E55,F55)</f>
        <v/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>
        <f>SUM(C56,D56,E56,F56)</f>
        <v/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>
        <f>SUM(C57,D57,E57,F57)</f>
        <v/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>
        <f>SUM(C58,D58,E58,F58)</f>
        <v/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>
        <f>SUM(C59,D59,E59,F59)</f>
        <v/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>
        <f>SUM(B61,B62)</f>
        <v/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 t="inlineStr">
        <is>
          <t>-</t>
        </is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>
        <f>SUM(C61,D61,E61,F61)</f>
        <v/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>
        <f>SUM(C62,D62,E62,F62)</f>
        <v/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>
        <f>SUM(C63,D63,E63,F63)</f>
        <v/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>
        <f>SUM(C64,D64,E64,F64)</f>
        <v/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>
        <f>SUM(C65,D65,E65,F65)</f>
        <v/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>
        <f>SUM(C66,D66,E66,F66)</f>
        <v/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>
        <f>SUM(C67,D67,E67,F67)</f>
        <v/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>
        <f>SUM(C68,D68,E68,F68)</f>
        <v/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>
        <f>SUM(C69,D69,E69,F69)</f>
        <v/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>
        <f>SUM(C70,D70,E70,F70)</f>
        <v/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>
        <f>SUM(C71,D71,E71,F71)</f>
        <v/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>
        <f>SUM(C72,D72,E72,F72)</f>
        <v/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>
        <f>SUM(C73,D73,E73,F73)</f>
        <v/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>
        <f>SUM(C74,D74,E74,F74)</f>
        <v/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>
        <f>SUM(C75,D75,E75,F75)</f>
        <v/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>
        <f>SUM(C76,D76,E76,F76)</f>
        <v/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>
        <f>SUM(C77,D77,E77,F77)</f>
        <v/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>
        <f>SUM(C78,D78,E78,F78)</f>
        <v/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>
        <f>SUM(C79,D79,E79,F79)</f>
        <v/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>
        <f>B43-B45</f>
        <v/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 t="inlineStr">
        <is>
          <t>-</t>
        </is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>
        <f>IFERROR(IF(B4=0,"-",B80/B4),"-")</f>
        <v/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 t="inlineStr">
        <is>
          <t>-</t>
        </is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>
        <f>SUM(B83,B84,B85,B86)</f>
        <v/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 t="inlineStr">
        <is>
          <t>-</t>
        </is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>
        <f>SUM(C83,D83,E83,F83)</f>
        <v/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>
        <f>SUM(C84,D84,E84,F84)</f>
        <v/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>
        <f>SUM(C85,D85,E85,F85)</f>
        <v/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>
        <f>SUM(C86,D86,E86,F86)</f>
        <v/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>
        <f>SUM(B88)</f>
        <v/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 t="inlineStr">
        <is>
          <t>-</t>
        </is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>
        <f>SUM(C88,D88,E88,F88)</f>
        <v/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>
        <f>B80+IFERROR(B82*1,0)-IFERROR(B87*1,0)</f>
        <v/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 t="inlineStr">
        <is>
          <t>-</t>
        </is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>
        <f>IFERROR(IF(B4=0,"-",B89/B4),"-")</f>
        <v/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 t="inlineStr">
        <is>
          <t>-</t>
        </is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>
        <f>SUM(B92,B93)</f>
        <v/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 t="inlineStr">
        <is>
          <t>-</t>
        </is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>
        <f>SUM(C92,D92,E92,F92)</f>
        <v/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>
        <f>SUM(C93,D93,E93,F93)</f>
        <v/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>
        <f>SUM(C94,D94,E94,F94)</f>
        <v/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>
        <f>SUM(B96,B97)</f>
        <v/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 t="inlineStr">
        <is>
          <t>-</t>
        </is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>
        <f>SUM(C96,D96,E96,F96)</f>
        <v/>
      </c>
      <c r="C96" s="7" t="n">
        <v>24000</v>
      </c>
      <c r="D96" s="7" t="n">
        <v>24000</v>
      </c>
      <c r="E96" s="7" t="n">
        <v>24000</v>
      </c>
      <c r="F96" s="7" t="n">
        <v>24000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>
        <f>SUM(C97,D97,E97,F97)</f>
        <v/>
      </c>
      <c r="C97" s="7" t="n">
        <v>76164.98</v>
      </c>
      <c r="D97" s="7" t="n">
        <v>76164.98</v>
      </c>
      <c r="E97" s="7" t="n">
        <v>76164.98</v>
      </c>
      <c r="F97" s="7" t="n">
        <v>76164.98</v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>
        <f>IFERROR(B89*1,0)-IFERROR(B91*1,0)-IFERROR(B94*1,0)-IFERROR(B95*1,0)</f>
        <v/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 t="inlineStr">
        <is>
          <t>-</t>
        </is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>
        <f>IFERROR(IF(B4=0,"-",B98/B4),"-")</f>
        <v/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 t="inlineStr">
        <is>
          <t>-</t>
        </is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2026-06-29T19:47:35Z</dcterms:created>
  <dcterms:modified xsi:type="dcterms:W3CDTF">2026-06-29T19:47:36Z</dcterms:modified>
</cp:coreProperties>
</file>