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Параметры" sheetId="1" state="visible" r:id="rId1"/>
    <sheet name="👥 Расчёт ФОТ" sheetId="2" state="visible" r:id="rId2"/>
    <sheet name="📊 Смета + КП" sheetId="3" state="visible" r:id="rId3"/>
    <sheet name="💰 П&amp;Л" sheetId="4" state="visible" r:id="rId4"/>
    <sheet name="🎯 Итог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9"/>
    </font>
    <font>
      <color rgb="00000000"/>
      <sz val="9"/>
    </font>
    <font>
      <b val="1"/>
      <color rgb="00000000"/>
      <sz val="10"/>
    </font>
    <font>
      <color rgb="00000000"/>
      <sz val="10"/>
    </font>
    <font>
      <i val="1"/>
      <color rgb="00000000"/>
      <sz val="10"/>
    </font>
    <font>
      <b val="1"/>
      <color rgb="00FFFFFF"/>
      <sz val="12"/>
    </font>
    <font>
      <b val="1"/>
      <color rgb="00FFFFFF"/>
      <sz val="9"/>
    </font>
    <font>
      <b val="1"/>
      <color rgb="00000000"/>
      <sz val="11"/>
    </font>
    <font>
      <b val="1"/>
      <color rgb="00FFFFFF"/>
      <sz val="10"/>
    </font>
    <font>
      <i val="1"/>
      <color rgb="00000000"/>
      <sz val="9"/>
    </font>
    <font>
      <b val="1"/>
      <color rgb="00000000"/>
      <sz val="12"/>
    </font>
    <font>
      <b val="1"/>
      <color rgb="00FFFFFF"/>
      <sz val="14"/>
    </font>
    <font>
      <i val="1"/>
      <color rgb="00595959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FFDE7"/>
      </patternFill>
    </fill>
    <fill>
      <patternFill patternType="solid">
        <fgColor rgb="00EDE7F6"/>
      </patternFill>
    </fill>
    <fill>
      <patternFill patternType="solid">
        <fgColor rgb="00D5E8D4"/>
      </patternFill>
    </fill>
    <fill>
      <patternFill patternType="solid">
        <fgColor rgb="00D6EAF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5" fillId="8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0" fillId="9" borderId="1" pivotButton="0" quotePrefix="0" xfId="0"/>
    <xf numFmtId="3" fontId="5" fillId="3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0" fontId="0" fillId="10" borderId="1" pivotButton="0" quotePrefix="0" xfId="0"/>
    <xf numFmtId="3" fontId="4" fillId="10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0" fontId="0" fillId="11" borderId="1" pivotButton="0" quotePrefix="0" xfId="0"/>
    <xf numFmtId="3" fontId="4" fillId="11" borderId="1" applyAlignment="1" pivotButton="0" quotePrefix="0" xfId="0">
      <alignment horizontal="center" vertical="center"/>
    </xf>
    <xf numFmtId="3" fontId="4" fillId="11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/>
    </xf>
    <xf numFmtId="0" fontId="0" fillId="13" borderId="1" pivotButton="0" quotePrefix="0" xfId="0"/>
    <xf numFmtId="3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3" fontId="4" fillId="1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9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0" fillId="15" borderId="1" pivotButton="0" quotePrefix="0" xfId="0"/>
    <xf numFmtId="164" fontId="5" fillId="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3" fontId="1" fillId="2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3" fontId="5" fillId="11" borderId="1" applyAlignment="1" pivotButton="0" quotePrefix="0" xfId="0">
      <alignment horizontal="right" vertical="center"/>
    </xf>
    <xf numFmtId="3" fontId="5" fillId="1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4" fillId="16" borderId="1" applyAlignment="1" pivotButton="0" quotePrefix="0" xfId="0">
      <alignment horizontal="left" vertical="center"/>
    </xf>
    <xf numFmtId="3" fontId="4" fillId="1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3" fontId="5" fillId="16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1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2" customWidth="1" min="4" max="4"/>
    <col width="18" customWidth="1" min="5" max="5"/>
  </cols>
  <sheetData>
    <row r="1" ht="30" customHeight="1">
      <c r="A1" s="1" t="inlineStr">
        <is>
          <t>🏢  КАЛЬКУЛЯТОР БЮДЖЕТА ЖК — Параметры объекта</t>
        </is>
      </c>
    </row>
    <row r="3">
      <c r="A3" s="2" t="inlineStr">
        <is>
          <t>Жёлтый</t>
        </is>
      </c>
      <c r="B3" s="3" t="inlineStr">
        <is>
          <t>Ввод данных (заполните)</t>
        </is>
      </c>
      <c r="C3" s="4" t="inlineStr">
        <is>
          <t>Голубой</t>
        </is>
      </c>
      <c r="D3" s="3" t="inlineStr">
        <is>
          <t>Формула (не трогайте)</t>
        </is>
      </c>
      <c r="E3" s="5" t="inlineStr">
        <is>
          <t>Зелёный</t>
        </is>
      </c>
      <c r="F3" s="3" t="inlineStr">
        <is>
          <t>Итоговый результат</t>
        </is>
      </c>
    </row>
    <row r="5">
      <c r="A5" s="6" t="inlineStr">
        <is>
          <t>А.  ОСНОВНАЯ ИНФОРМАЦИЯ ОБ ОБЪЕКТЕ</t>
        </is>
      </c>
      <c r="B5" s="7" t="n"/>
      <c r="C5" s="7" t="n"/>
      <c r="D5" s="7" t="n"/>
      <c r="E5" s="7" t="n"/>
    </row>
    <row r="6">
      <c r="A6" s="8" t="inlineStr">
        <is>
          <t>Название ЖК</t>
        </is>
      </c>
      <c r="B6" s="9" t="inlineStr">
        <is>
          <t>Новый объект</t>
        </is>
      </c>
      <c r="C6" s="10" t="n"/>
      <c r="D6" s="10" t="n"/>
      <c r="E6" s="10" t="n"/>
    </row>
    <row r="7">
      <c r="A7" s="8" t="inlineStr">
        <is>
          <t>Город / регион</t>
        </is>
      </c>
      <c r="B7" s="9" t="inlineStr">
        <is>
          <t>Санкт-Петербург</t>
        </is>
      </c>
      <c r="C7" s="10" t="n"/>
      <c r="D7" s="10" t="n"/>
      <c r="E7" s="10" t="n"/>
    </row>
    <row r="8">
      <c r="A8" s="8" t="inlineStr">
        <is>
          <t>Количество корпусов</t>
        </is>
      </c>
      <c r="B8" s="11" t="n">
        <v>4</v>
      </c>
      <c r="C8" s="10" t="n"/>
      <c r="D8" s="10" t="n"/>
      <c r="E8" s="10" t="n"/>
    </row>
    <row r="9">
      <c r="A9" s="8" t="inlineStr">
        <is>
          <t>Общая площадь МОП, м²</t>
        </is>
      </c>
      <c r="B9" s="11" t="n">
        <v>12000</v>
      </c>
      <c r="C9" s="10" t="n"/>
      <c r="D9" s="10" t="n"/>
      <c r="E9" s="10" t="n"/>
    </row>
    <row r="10">
      <c r="A10" s="8" t="inlineStr">
        <is>
          <t>Площадь территории, м²</t>
        </is>
      </c>
      <c r="B10" s="11" t="n">
        <v>8000</v>
      </c>
      <c r="C10" s="10" t="n"/>
      <c r="D10" s="10" t="n"/>
      <c r="E10" s="10" t="n"/>
    </row>
    <row r="11">
      <c r="A11" s="8" t="inlineStr">
        <is>
          <t>Площадь УДС, м²</t>
        </is>
      </c>
      <c r="B11" s="11" t="n">
        <v>5000</v>
      </c>
      <c r="C11" s="10" t="n"/>
      <c r="D11" s="10" t="n"/>
      <c r="E11" s="10" t="n"/>
    </row>
    <row r="12">
      <c r="A12" s="8" t="inlineStr">
        <is>
          <t>Количество квартир</t>
        </is>
      </c>
      <c r="B12" s="11" t="n">
        <v>500</v>
      </c>
      <c r="C12" s="10" t="n"/>
      <c r="D12" s="10" t="n"/>
      <c r="E12" s="10" t="n"/>
    </row>
    <row r="13">
      <c r="A13" s="8" t="inlineStr">
        <is>
          <t>Этажность (средняя)</t>
        </is>
      </c>
      <c r="B13" s="11" t="n">
        <v>17</v>
      </c>
      <c r="C13" s="10" t="n"/>
      <c r="D13" s="10" t="n"/>
      <c r="E13" s="10" t="n"/>
    </row>
    <row r="14">
      <c r="A14" s="8" t="inlineStr">
        <is>
          <t>Дата начала контракта</t>
        </is>
      </c>
      <c r="B14" s="9" t="inlineStr">
        <is>
          <t>01.07.2026</t>
        </is>
      </c>
      <c r="C14" s="10" t="n"/>
      <c r="D14" s="10" t="n"/>
      <c r="E14" s="10" t="n"/>
    </row>
    <row r="15">
      <c r="A15" s="8" t="inlineStr">
        <is>
          <t>Срок контракта, лет</t>
        </is>
      </c>
      <c r="B15" s="11" t="n">
        <v>1</v>
      </c>
      <c r="C15" s="10" t="n"/>
      <c r="D15" s="10" t="n"/>
      <c r="E15" s="10" t="n"/>
    </row>
    <row r="17">
      <c r="A17" s="6" t="inlineStr">
        <is>
          <t>Б.  НАПРАВЛЕНИЯ УСЛУГ (отметьте ДА/НЕТ)</t>
        </is>
      </c>
      <c r="B17" s="7" t="n"/>
      <c r="C17" s="7" t="n"/>
      <c r="D17" s="7" t="n"/>
      <c r="E17" s="7" t="n"/>
    </row>
    <row r="18">
      <c r="A18" s="12" t="inlineStr">
        <is>
          <t>МОП — уборка МКД</t>
        </is>
      </c>
      <c r="B18" s="13" t="inlineStr">
        <is>
          <t>ДА</t>
        </is>
      </c>
      <c r="C18" s="10" t="n"/>
      <c r="D18" s="10" t="n"/>
      <c r="E18" s="10" t="n"/>
    </row>
    <row r="19">
      <c r="A19" s="14" t="inlineStr">
        <is>
          <t>ПТ — территория, озеленение</t>
        </is>
      </c>
      <c r="B19" s="13" t="inlineStr">
        <is>
          <t>ДА</t>
        </is>
      </c>
      <c r="C19" s="10" t="n"/>
      <c r="D19" s="10" t="n"/>
      <c r="E19" s="10" t="n"/>
    </row>
    <row r="20">
      <c r="A20" s="15" t="inlineStr">
        <is>
          <t>УДС — уборка дорог/проездов</t>
        </is>
      </c>
      <c r="B20" s="13" t="inlineStr">
        <is>
          <t>НЕТ</t>
        </is>
      </c>
      <c r="C20" s="10" t="n"/>
      <c r="D20" s="10" t="n"/>
      <c r="E20" s="10" t="n"/>
    </row>
    <row r="21">
      <c r="A21" s="10" t="inlineStr">
        <is>
          <t>Снегоуборка</t>
        </is>
      </c>
      <c r="B21" s="13" t="inlineStr">
        <is>
          <t>ДА</t>
        </is>
      </c>
      <c r="C21" s="10" t="n"/>
      <c r="D21" s="10" t="n"/>
      <c r="E21" s="10" t="n"/>
    </row>
    <row r="22">
      <c r="A22" s="10" t="inlineStr">
        <is>
          <t>Доп. услуги</t>
        </is>
      </c>
      <c r="B22" s="13" t="inlineStr">
        <is>
          <t>НЕТ</t>
        </is>
      </c>
      <c r="C22" s="10" t="n"/>
      <c r="D22" s="10" t="n"/>
      <c r="E22" s="10" t="n"/>
    </row>
    <row r="24">
      <c r="A24" s="6" t="inlineStr">
        <is>
          <t>В.  НАЛОГИ И СТАВКИ</t>
        </is>
      </c>
      <c r="B24" s="7" t="n"/>
      <c r="C24" s="7" t="n"/>
      <c r="D24" s="7" t="n"/>
      <c r="E24" s="7" t="n"/>
    </row>
    <row r="25">
      <c r="A25" s="8" t="inlineStr">
        <is>
          <t>Режим налогообложения</t>
        </is>
      </c>
      <c r="B25" s="9" t="inlineStr">
        <is>
          <t>УСН 6%</t>
        </is>
      </c>
      <c r="C25" s="10" t="n"/>
      <c r="D25" s="10" t="n"/>
      <c r="E25" s="10" t="n"/>
    </row>
    <row r="26">
      <c r="A26" s="8" t="inlineStr">
        <is>
          <t>Ставка НДС</t>
        </is>
      </c>
      <c r="B26" s="16" t="n">
        <v>0.05</v>
      </c>
      <c r="C26" s="10" t="n"/>
      <c r="D26" s="10" t="n"/>
      <c r="E26" s="10" t="n"/>
    </row>
    <row r="27">
      <c r="A27" s="8" t="inlineStr">
        <is>
          <t>Ставка УСН (% от выручки)</t>
        </is>
      </c>
      <c r="B27" s="16" t="n">
        <v>0.015</v>
      </c>
      <c r="C27" s="10" t="n"/>
      <c r="D27" s="10" t="n"/>
      <c r="E27" s="10" t="n"/>
    </row>
    <row r="28">
      <c r="A28" s="8" t="inlineStr">
        <is>
          <t>Ставка НДФЛ</t>
        </is>
      </c>
      <c r="B28" s="16" t="n">
        <v>0.13</v>
      </c>
      <c r="C28" s="10" t="n"/>
      <c r="D28" s="10" t="n"/>
      <c r="E28" s="10" t="n"/>
    </row>
    <row r="29">
      <c r="A29" s="8" t="inlineStr">
        <is>
          <t>Ставка страх. взносов (РФ, до МРОТ×2)</t>
        </is>
      </c>
      <c r="B29" s="16" t="n">
        <v>0.3</v>
      </c>
      <c r="C29" s="10" t="n"/>
      <c r="D29" s="10" t="n"/>
      <c r="E29" s="10" t="n"/>
    </row>
    <row r="30">
      <c r="A30" s="8" t="inlineStr">
        <is>
          <t>Ставка страх. взносов (выше МРОТ×2)</t>
        </is>
      </c>
      <c r="B30" s="16" t="n">
        <v>0.15</v>
      </c>
      <c r="C30" s="10" t="n"/>
      <c r="D30" s="10" t="n"/>
      <c r="E30" s="10" t="n"/>
    </row>
    <row r="31">
      <c r="A31" s="8" t="inlineStr">
        <is>
          <t>Ставка страх. взносов (СНГ)</t>
        </is>
      </c>
      <c r="B31" s="16" t="n">
        <v>0.243</v>
      </c>
      <c r="C31" s="10" t="n"/>
      <c r="D31" s="10" t="n"/>
      <c r="E31" s="10" t="n"/>
    </row>
    <row r="32">
      <c r="A32" s="8" t="inlineStr">
        <is>
          <t>Налог на прибыль (в КП)</t>
        </is>
      </c>
      <c r="B32" s="16" t="n">
        <v>0.15</v>
      </c>
      <c r="C32" s="10" t="n"/>
      <c r="D32" s="10" t="n"/>
      <c r="E32" s="10" t="n"/>
    </row>
    <row r="34">
      <c r="A34" s="6" t="inlineStr">
        <is>
          <t>Г.  КОММЕРЧЕСКИЕ ПАРАМЕТРЫ (структура КП)</t>
        </is>
      </c>
      <c r="B34" s="7" t="n"/>
      <c r="C34" s="7" t="n"/>
      <c r="D34" s="7" t="n"/>
      <c r="E34" s="7" t="n"/>
    </row>
    <row r="35">
      <c r="A35" s="8" t="inlineStr">
        <is>
          <t>Накладные расходы (% от себест.)</t>
        </is>
      </c>
      <c r="B35" s="16" t="n">
        <v>0.15</v>
      </c>
      <c r="C35" s="10" t="n"/>
      <c r="D35" s="10" t="n"/>
      <c r="E35" s="10" t="n"/>
    </row>
    <row r="36">
      <c r="A36" s="8" t="inlineStr">
        <is>
          <t>Целевая прибыль (% от себест.)</t>
        </is>
      </c>
      <c r="B36" s="16" t="n">
        <v>0.2</v>
      </c>
      <c r="C36" s="10" t="n"/>
      <c r="D36" s="10" t="n"/>
      <c r="E36" s="10" t="n"/>
    </row>
    <row r="37">
      <c r="A37" s="8" t="inlineStr">
        <is>
          <t>Целевая рент. чистой прибыли</t>
        </is>
      </c>
      <c r="B37" s="16" t="n">
        <v>0.2</v>
      </c>
      <c r="C37" s="10" t="n"/>
      <c r="D37" s="10" t="n"/>
      <c r="E37" s="10" t="n"/>
    </row>
    <row r="38">
      <c r="A38" s="8" t="inlineStr">
        <is>
          <t>Расходы бэк-офиса (% от выручки)</t>
        </is>
      </c>
      <c r="B38" s="16" t="n">
        <v>0.08</v>
      </c>
      <c r="C38" s="10" t="n"/>
      <c r="D38" s="10" t="n"/>
      <c r="E38" s="10" t="n"/>
    </row>
    <row r="39">
      <c r="A39" s="8" t="inlineStr">
        <is>
          <t>Расходы управления (% от выручки)</t>
        </is>
      </c>
      <c r="B39" s="16" t="n">
        <v>0.04</v>
      </c>
      <c r="C39" s="10" t="n"/>
      <c r="D39" s="10" t="n"/>
      <c r="E39" s="10" t="n"/>
    </row>
    <row r="41">
      <c r="A41" s="6" t="inlineStr">
        <is>
          <t>Д.  СЕЗОННОСТЬ</t>
        </is>
      </c>
      <c r="B41" s="7" t="n"/>
      <c r="C41" s="7" t="n"/>
      <c r="D41" s="7" t="n"/>
      <c r="E41" s="7" t="n"/>
    </row>
    <row r="42">
      <c r="A42" s="8" t="inlineStr">
        <is>
          <t>Летние месяцы (апр–сен)</t>
        </is>
      </c>
      <c r="B42" s="11" t="n">
        <v>6</v>
      </c>
      <c r="C42" s="10" t="inlineStr">
        <is>
          <t>мес.</t>
        </is>
      </c>
    </row>
    <row r="43">
      <c r="A43" s="8" t="inlineStr">
        <is>
          <t>Зимние месяцы (окт–мар)</t>
        </is>
      </c>
      <c r="B43" s="11" t="n">
        <v>6</v>
      </c>
      <c r="C43" s="10" t="inlineStr">
        <is>
          <t>мес.</t>
        </is>
      </c>
    </row>
    <row r="44">
      <c r="A44" s="8" t="inlineStr">
        <is>
          <t>Месяцев снегоуборки</t>
        </is>
      </c>
      <c r="B44" s="11" t="n">
        <v>5</v>
      </c>
      <c r="C44" s="10" t="inlineStr">
        <is>
          <t>мес.</t>
        </is>
      </c>
    </row>
    <row r="47">
      <c r="A47" s="17" t="inlineStr">
        <is>
          <t>📌  КАК ПОЛЬЗОВАТЬСЯ:
1. Заполните жёлтые ячейки на этом листе
2. Перейдите на лист «👥 Расчёт ФОТ» — укажите штат сотрудников
3. На листе «📊 Смета + КП» проверьте себестоимость и цену контракта
4. Лист «💰 П&amp;Л» покажет помесячный P&amp;L (как в ПланФакте)
5. Итоги на листе «🎯 Итоги»</t>
        </is>
      </c>
    </row>
    <row r="48"/>
    <row r="49"/>
    <row r="50"/>
  </sheetData>
  <mergeCells count="7">
    <mergeCell ref="A34:E34"/>
    <mergeCell ref="A24:E24"/>
    <mergeCell ref="A41:E41"/>
    <mergeCell ref="A1:E1"/>
    <mergeCell ref="A5:E5"/>
    <mergeCell ref="A17:E17"/>
    <mergeCell ref="A47:E50"/>
  </mergeCells>
  <dataValidations count="1">
    <dataValidation sqref="B18 B19 B20 B21 B22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2" customWidth="1" min="7" max="7"/>
    <col width="14" customWidth="1" min="8" max="8"/>
    <col width="16" customWidth="1" min="9" max="9"/>
    <col width="16" customWidth="1" min="10" max="10"/>
  </cols>
  <sheetData>
    <row r="1" ht="28" customHeight="1">
      <c r="A1" s="18" t="inlineStr">
        <is>
          <t>👥  РАСЧЁТ ФОТ ПО НАПРАВЛЕНИЯМ</t>
        </is>
      </c>
    </row>
    <row r="3">
      <c r="A3" s="19" t="inlineStr">
        <is>
          <t>Ставки (из листа Параметры):</t>
        </is>
      </c>
    </row>
    <row r="4">
      <c r="A4" s="8" t="inlineStr">
        <is>
          <t>НДФЛ:</t>
        </is>
      </c>
      <c r="B4" s="20">
        <f>'📋 Параметры'!B28</f>
        <v/>
      </c>
      <c r="C4" s="10" t="inlineStr"/>
    </row>
    <row r="5">
      <c r="A5" s="8" t="inlineStr">
        <is>
          <t>СВ РФ (до порога):</t>
        </is>
      </c>
      <c r="B5" s="20">
        <f>'📋 Параметры'!B29</f>
        <v/>
      </c>
      <c r="C5" s="10" t="inlineStr"/>
    </row>
    <row r="6">
      <c r="A6" s="8" t="inlineStr">
        <is>
          <t>СВ (выше порога):</t>
        </is>
      </c>
      <c r="B6" s="20">
        <f>'📋 Параметры'!B30</f>
        <v/>
      </c>
      <c r="C6" s="10" t="inlineStr"/>
    </row>
    <row r="7">
      <c r="A7" s="8" t="inlineStr">
        <is>
          <t>СВ СНГ:</t>
        </is>
      </c>
      <c r="B7" s="20">
        <f>'📋 Параметры'!B31</f>
        <v/>
      </c>
      <c r="C7" s="10" t="inlineStr"/>
    </row>
    <row r="9" ht="35" customHeight="1">
      <c r="A9" s="21" t="inlineStr">
        <is>
          <t>Должность</t>
        </is>
      </c>
      <c r="B9" s="21" t="inlineStr">
        <is>
          <t>Кол-во
(лето)</t>
        </is>
      </c>
      <c r="C9" s="21" t="inlineStr">
        <is>
          <t>Кол-во
(зима)</t>
        </is>
      </c>
      <c r="D9" s="21" t="inlineStr">
        <is>
          <t>ЗП на руки
(1 чел.)</t>
        </is>
      </c>
      <c r="E9" s="21" t="inlineStr">
        <is>
          <t>ЗП gross
(1 чел.)</t>
        </is>
      </c>
      <c r="F9" s="21" t="inlineStr">
        <is>
          <t>НДФЛ
(1 чел.)</t>
        </is>
      </c>
      <c r="G9" s="21" t="inlineStr">
        <is>
          <t>Ставка
СВ%</t>
        </is>
      </c>
      <c r="H9" s="21" t="inlineStr">
        <is>
          <t>СВ
(1 чел.)</t>
        </is>
      </c>
      <c r="I9" s="21" t="inlineStr">
        <is>
          <t>Расход/мес
(лето)</t>
        </is>
      </c>
      <c r="J9" s="21" t="inlineStr">
        <is>
          <t>Расход/мес
(зима)</t>
        </is>
      </c>
    </row>
    <row r="10">
      <c r="A10" s="22" t="inlineStr">
        <is>
          <t xml:space="preserve">  МОП — УБОРКА МКД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</row>
    <row r="11">
      <c r="A11" s="10" t="inlineStr">
        <is>
          <t xml:space="preserve">    Уборщик производственных помещений</t>
        </is>
      </c>
      <c r="B11" s="24" t="n">
        <v>4</v>
      </c>
      <c r="C11" s="24" t="n">
        <v>4</v>
      </c>
      <c r="D11" s="11" t="n">
        <v>60000</v>
      </c>
      <c r="E11" s="25">
        <f>IF(D11=0,0,D11/(1-B4))</f>
        <v/>
      </c>
      <c r="F11" s="25">
        <f>IF(E11=0,0,E11*B4)</f>
        <v/>
      </c>
      <c r="G11" s="26">
        <f>B5</f>
        <v/>
      </c>
      <c r="H11" s="25">
        <f>IF(E11=0,0,E11*G11)</f>
        <v/>
      </c>
      <c r="I11" s="27">
        <f>IF(B11=0,0,(E11+H11)*B11)</f>
        <v/>
      </c>
      <c r="J11" s="27">
        <f>IF(C11=0,0,(E11+H11)*C11)</f>
        <v/>
      </c>
    </row>
    <row r="12">
      <c r="A12" s="10" t="inlineStr">
        <is>
          <t xml:space="preserve">    Уборщик (сменный)</t>
        </is>
      </c>
      <c r="B12" s="24" t="n"/>
      <c r="C12" s="24" t="n"/>
      <c r="D12" s="11" t="n">
        <v>60000</v>
      </c>
      <c r="E12" s="25">
        <f>IF(D12=0,0,D12/(1-B4))</f>
        <v/>
      </c>
      <c r="F12" s="25">
        <f>IF(E12=0,0,E12*B4)</f>
        <v/>
      </c>
      <c r="G12" s="26">
        <f>B5</f>
        <v/>
      </c>
      <c r="H12" s="25">
        <f>IF(E12=0,0,E12*G12)</f>
        <v/>
      </c>
      <c r="I12" s="27">
        <f>IF(B12=0,0,(E12+H12)*B12)</f>
        <v/>
      </c>
      <c r="J12" s="27">
        <f>IF(C12=0,0,(E12+H12)*C12)</f>
        <v/>
      </c>
    </row>
    <row r="13">
      <c r="A13" s="10" t="inlineStr">
        <is>
          <t xml:space="preserve">    Уборщик холлов и лифтов</t>
        </is>
      </c>
      <c r="B13" s="24" t="n"/>
      <c r="C13" s="24" t="n"/>
      <c r="D13" s="11" t="n">
        <v>55000</v>
      </c>
      <c r="E13" s="25">
        <f>IF(D13=0,0,D13/(1-B4))</f>
        <v/>
      </c>
      <c r="F13" s="25">
        <f>IF(E13=0,0,E13*B4)</f>
        <v/>
      </c>
      <c r="G13" s="26">
        <f>B5</f>
        <v/>
      </c>
      <c r="H13" s="25">
        <f>IF(E13=0,0,E13*G13)</f>
        <v/>
      </c>
      <c r="I13" s="27">
        <f>IF(B13=0,0,(E13+H13)*B13)</f>
        <v/>
      </c>
      <c r="J13" s="27">
        <f>IF(C13=0,0,(E13+H13)*C13)</f>
        <v/>
      </c>
    </row>
    <row r="14">
      <c r="A14" s="10" t="inlineStr">
        <is>
          <t xml:space="preserve">    ОПМ (оператор профмашины)</t>
        </is>
      </c>
      <c r="B14" s="24" t="n"/>
      <c r="C14" s="24" t="n"/>
      <c r="D14" s="11" t="n">
        <v>65000</v>
      </c>
      <c r="E14" s="25">
        <f>IF(D14=0,0,D14/(1-B4))</f>
        <v/>
      </c>
      <c r="F14" s="25">
        <f>IF(E14=0,0,E14*B4)</f>
        <v/>
      </c>
      <c r="G14" s="26">
        <f>B5</f>
        <v/>
      </c>
      <c r="H14" s="25">
        <f>IF(E14=0,0,E14*G14)</f>
        <v/>
      </c>
      <c r="I14" s="27">
        <f>IF(B14=0,0,(E14+H14)*B14)</f>
        <v/>
      </c>
      <c r="J14" s="27">
        <f>IF(C14=0,0,(E14+H14)*C14)</f>
        <v/>
      </c>
    </row>
    <row r="15">
      <c r="A15" s="10" t="inlineStr">
        <is>
          <t xml:space="preserve">    Администратор/старший смены</t>
        </is>
      </c>
      <c r="B15" s="24" t="n">
        <v>1</v>
      </c>
      <c r="C15" s="24" t="n">
        <v>1</v>
      </c>
      <c r="D15" s="11" t="n">
        <v>80000</v>
      </c>
      <c r="E15" s="25">
        <f>IF(D15=0,0,D15/(1-B4))</f>
        <v/>
      </c>
      <c r="F15" s="25">
        <f>IF(E15=0,0,E15*B4)</f>
        <v/>
      </c>
      <c r="G15" s="26">
        <f>B5</f>
        <v/>
      </c>
      <c r="H15" s="25">
        <f>IF(E15=0,0,E15*G15)</f>
        <v/>
      </c>
      <c r="I15" s="27">
        <f>IF(B15=0,0,(E15+H15)*B15)</f>
        <v/>
      </c>
      <c r="J15" s="27">
        <f>IF(C15=0,0,(E15+H15)*C15)</f>
        <v/>
      </c>
    </row>
    <row r="16">
      <c r="A16" s="22" t="inlineStr">
        <is>
          <t xml:space="preserve">  ИТОГО МОП</t>
        </is>
      </c>
      <c r="B16" s="28">
        <f>SUM(B11,B12,B13,B14,B15)</f>
        <v/>
      </c>
      <c r="C16" s="28">
        <f>SUM(C11,C12,C13,C14,C15)</f>
        <v/>
      </c>
      <c r="D16" s="12" t="n"/>
      <c r="E16" s="12" t="n"/>
      <c r="F16" s="12" t="n"/>
      <c r="G16" s="12" t="n"/>
      <c r="H16" s="12" t="n"/>
      <c r="I16" s="29">
        <f>SUM(I11,I12,I13,I14,I15)</f>
        <v/>
      </c>
      <c r="J16" s="29">
        <f>SUM(J11,J12,J13,J14,J15)</f>
        <v/>
      </c>
    </row>
    <row r="18">
      <c r="A18" s="30" t="inlineStr">
        <is>
          <t xml:space="preserve">  ПТ — ТЕРРИТОРИЯ И ОЗЕЛЕНЕНИЕ</t>
        </is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</row>
    <row r="19">
      <c r="A19" s="10" t="inlineStr">
        <is>
          <t xml:space="preserve">    Дворник</t>
        </is>
      </c>
      <c r="B19" s="24" t="n">
        <v>3</v>
      </c>
      <c r="C19" s="24" t="n">
        <v>4</v>
      </c>
      <c r="D19" s="11" t="n">
        <v>80000</v>
      </c>
      <c r="E19" s="25">
        <f>IF(D19=0,0,D19/(1-B4))</f>
        <v/>
      </c>
      <c r="F19" s="25">
        <f>IF(E19=0,0,E19*B4)</f>
        <v/>
      </c>
      <c r="G19" s="26">
        <f>B5</f>
        <v/>
      </c>
      <c r="H19" s="25">
        <f>IF(E19=0,0,E19*G19)</f>
        <v/>
      </c>
      <c r="I19" s="27">
        <f>IF(B19=0,0,(E19+H19)*B19)</f>
        <v/>
      </c>
      <c r="J19" s="27">
        <f>IF(C19=0,0,(E19+H19)*C19)</f>
        <v/>
      </c>
    </row>
    <row r="20">
      <c r="A20" s="10" t="inlineStr">
        <is>
          <t xml:space="preserve">    Дворник-тракторист</t>
        </is>
      </c>
      <c r="B20" s="24" t="n"/>
      <c r="C20" s="24" t="n"/>
      <c r="D20" s="11" t="n">
        <v>90000</v>
      </c>
      <c r="E20" s="25">
        <f>IF(D20=0,0,D20/(1-B4))</f>
        <v/>
      </c>
      <c r="F20" s="25">
        <f>IF(E20=0,0,E20*B4)</f>
        <v/>
      </c>
      <c r="G20" s="26">
        <f>B5</f>
        <v/>
      </c>
      <c r="H20" s="25">
        <f>IF(E20=0,0,E20*G20)</f>
        <v/>
      </c>
      <c r="I20" s="27">
        <f>IF(B20=0,0,(E20+H20)*B20)</f>
        <v/>
      </c>
      <c r="J20" s="27">
        <f>IF(C20=0,0,(E20+H20)*C20)</f>
        <v/>
      </c>
    </row>
    <row r="21">
      <c r="A21" s="10" t="inlineStr">
        <is>
          <t xml:space="preserve">    Бригадир</t>
        </is>
      </c>
      <c r="B21" s="24" t="n">
        <v>1</v>
      </c>
      <c r="C21" s="24" t="n">
        <v>1</v>
      </c>
      <c r="D21" s="11" t="n">
        <v>80000</v>
      </c>
      <c r="E21" s="25">
        <f>IF(D21=0,0,D21/(1-B4))</f>
        <v/>
      </c>
      <c r="F21" s="25">
        <f>IF(E21=0,0,E21*B4)</f>
        <v/>
      </c>
      <c r="G21" s="26">
        <f>B5</f>
        <v/>
      </c>
      <c r="H21" s="25">
        <f>IF(E21=0,0,E21*G21)</f>
        <v/>
      </c>
      <c r="I21" s="27">
        <f>IF(B21=0,0,(E21+H21)*B21)</f>
        <v/>
      </c>
      <c r="J21" s="27">
        <f>IF(C21=0,0,(E21+H21)*C21)</f>
        <v/>
      </c>
    </row>
    <row r="22">
      <c r="A22" s="10" t="inlineStr">
        <is>
          <t xml:space="preserve">    Садовник</t>
        </is>
      </c>
      <c r="B22" s="24" t="n"/>
      <c r="C22" s="24" t="n"/>
      <c r="D22" s="11" t="n">
        <v>70000</v>
      </c>
      <c r="E22" s="25">
        <f>IF(D22=0,0,D22/(1-B4))</f>
        <v/>
      </c>
      <c r="F22" s="25">
        <f>IF(E22=0,0,E22*B4)</f>
        <v/>
      </c>
      <c r="G22" s="26">
        <f>B5</f>
        <v/>
      </c>
      <c r="H22" s="25">
        <f>IF(E22=0,0,E22*G22)</f>
        <v/>
      </c>
      <c r="I22" s="27">
        <f>IF(B22=0,0,(E22+H22)*B22)</f>
        <v/>
      </c>
      <c r="J22" s="27">
        <f>IF(C22=0,0,(E22+H22)*C22)</f>
        <v/>
      </c>
    </row>
    <row r="23">
      <c r="A23" s="10" t="inlineStr">
        <is>
          <t xml:space="preserve">    Администратор</t>
        </is>
      </c>
      <c r="B23" s="24" t="n"/>
      <c r="C23" s="24" t="n"/>
      <c r="D23" s="11" t="n">
        <v>120000</v>
      </c>
      <c r="E23" s="25">
        <f>IF(D23=0,0,D23/(1-B4))</f>
        <v/>
      </c>
      <c r="F23" s="25">
        <f>IF(E23=0,0,E23*B4)</f>
        <v/>
      </c>
      <c r="G23" s="26">
        <f>B5</f>
        <v/>
      </c>
      <c r="H23" s="25">
        <f>IF(E23=0,0,E23*G23)</f>
        <v/>
      </c>
      <c r="I23" s="27">
        <f>IF(B23=0,0,(E23+H23)*B23)</f>
        <v/>
      </c>
      <c r="J23" s="27">
        <f>IF(C23=0,0,(E23+H23)*C23)</f>
        <v/>
      </c>
    </row>
    <row r="24">
      <c r="A24" s="30" t="inlineStr">
        <is>
          <t xml:space="preserve">  ИТОГО ПТ</t>
        </is>
      </c>
      <c r="B24" s="32">
        <f>SUM(B19,B20,B21,B22,B23)</f>
        <v/>
      </c>
      <c r="C24" s="32">
        <f>SUM(C19,C20,C21,C22,C23)</f>
        <v/>
      </c>
      <c r="D24" s="14" t="n"/>
      <c r="E24" s="14" t="n"/>
      <c r="F24" s="14" t="n"/>
      <c r="G24" s="14" t="n"/>
      <c r="H24" s="14" t="n"/>
      <c r="I24" s="33">
        <f>SUM(I19,I20,I21,I22,I23)</f>
        <v/>
      </c>
      <c r="J24" s="33">
        <f>SUM(J19,J20,J21,J22,J23)</f>
        <v/>
      </c>
    </row>
    <row r="26">
      <c r="A26" s="34" t="inlineStr">
        <is>
          <t xml:space="preserve">  УДС — УБОРКА ДОРОГ И ПРОЕЗДОВ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</row>
    <row r="27">
      <c r="A27" s="10" t="inlineStr">
        <is>
          <t xml:space="preserve">    Дворник</t>
        </is>
      </c>
      <c r="B27" s="24" t="n"/>
      <c r="C27" s="24" t="n"/>
      <c r="D27" s="11" t="n">
        <v>80000</v>
      </c>
      <c r="E27" s="25">
        <f>IF(D27=0,0,D27/(1-B4))</f>
        <v/>
      </c>
      <c r="F27" s="25">
        <f>IF(E27=0,0,E27*B4)</f>
        <v/>
      </c>
      <c r="G27" s="26">
        <f>B5</f>
        <v/>
      </c>
      <c r="H27" s="25">
        <f>IF(E27=0,0,E27*G27)</f>
        <v/>
      </c>
      <c r="I27" s="27">
        <f>IF(B27=0,0,(E27+H27)*B27)</f>
        <v/>
      </c>
      <c r="J27" s="27">
        <f>IF(C27=0,0,(E27+H27)*C27)</f>
        <v/>
      </c>
    </row>
    <row r="28">
      <c r="A28" s="10" t="inlineStr">
        <is>
          <t xml:space="preserve">    Тракторист</t>
        </is>
      </c>
      <c r="B28" s="24" t="n"/>
      <c r="C28" s="24" t="n"/>
      <c r="D28" s="11" t="n">
        <v>90000</v>
      </c>
      <c r="E28" s="25">
        <f>IF(D28=0,0,D28/(1-B4))</f>
        <v/>
      </c>
      <c r="F28" s="25">
        <f>IF(E28=0,0,E28*B4)</f>
        <v/>
      </c>
      <c r="G28" s="26">
        <f>B5</f>
        <v/>
      </c>
      <c r="H28" s="25">
        <f>IF(E28=0,0,E28*G28)</f>
        <v/>
      </c>
      <c r="I28" s="27">
        <f>IF(B28=0,0,(E28+H28)*B28)</f>
        <v/>
      </c>
      <c r="J28" s="27">
        <f>IF(C28=0,0,(E28+H28)*C28)</f>
        <v/>
      </c>
    </row>
    <row r="29">
      <c r="A29" s="10" t="inlineStr">
        <is>
          <t xml:space="preserve">    Бригадир</t>
        </is>
      </c>
      <c r="B29" s="24" t="n"/>
      <c r="C29" s="24" t="n"/>
      <c r="D29" s="11" t="n">
        <v>80000</v>
      </c>
      <c r="E29" s="25">
        <f>IF(D29=0,0,D29/(1-B4))</f>
        <v/>
      </c>
      <c r="F29" s="25">
        <f>IF(E29=0,0,E29*B4)</f>
        <v/>
      </c>
      <c r="G29" s="26">
        <f>B5</f>
        <v/>
      </c>
      <c r="H29" s="25">
        <f>IF(E29=0,0,E29*G29)</f>
        <v/>
      </c>
      <c r="I29" s="27">
        <f>IF(B29=0,0,(E29+H29)*B29)</f>
        <v/>
      </c>
      <c r="J29" s="27">
        <f>IF(C29=0,0,(E29+H29)*C29)</f>
        <v/>
      </c>
    </row>
    <row r="30">
      <c r="A30" s="10" t="inlineStr">
        <is>
          <t xml:space="preserve">    Администратор</t>
        </is>
      </c>
      <c r="B30" s="24" t="n"/>
      <c r="C30" s="24" t="n"/>
      <c r="D30" s="11" t="n">
        <v>120000</v>
      </c>
      <c r="E30" s="25">
        <f>IF(D30=0,0,D30/(1-B4))</f>
        <v/>
      </c>
      <c r="F30" s="25">
        <f>IF(E30=0,0,E30*B4)</f>
        <v/>
      </c>
      <c r="G30" s="26">
        <f>B5</f>
        <v/>
      </c>
      <c r="H30" s="25">
        <f>IF(E30=0,0,E30*G30)</f>
        <v/>
      </c>
      <c r="I30" s="27">
        <f>IF(B30=0,0,(E30+H30)*B30)</f>
        <v/>
      </c>
      <c r="J30" s="27">
        <f>IF(C30=0,0,(E30+H30)*C30)</f>
        <v/>
      </c>
    </row>
    <row r="31">
      <c r="A31" s="34" t="inlineStr">
        <is>
          <t xml:space="preserve">  ИТОГО УДС</t>
        </is>
      </c>
      <c r="B31" s="36">
        <f>SUM(B27,B28,B29,B30)</f>
        <v/>
      </c>
      <c r="C31" s="36">
        <f>SUM(C27,C28,C29,C30)</f>
        <v/>
      </c>
      <c r="D31" s="15" t="n"/>
      <c r="E31" s="15" t="n"/>
      <c r="F31" s="15" t="n"/>
      <c r="G31" s="15" t="n"/>
      <c r="H31" s="15" t="n"/>
      <c r="I31" s="37">
        <f>SUM(I27,I28,I29,I30)</f>
        <v/>
      </c>
      <c r="J31" s="37">
        <f>SUM(J27,J28,J29,J30)</f>
        <v/>
      </c>
    </row>
    <row r="33">
      <c r="A33" s="38" t="inlineStr">
        <is>
          <t xml:space="preserve">  АУП — УПРАВЛЕНИЕ ОБЪЕКТОМ</t>
        </is>
      </c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</row>
    <row r="34">
      <c r="A34" s="10" t="inlineStr">
        <is>
          <t xml:space="preserve">    Менеджер объекта</t>
        </is>
      </c>
      <c r="B34" s="24" t="n">
        <v>1</v>
      </c>
      <c r="C34" s="24" t="n">
        <v>1</v>
      </c>
      <c r="D34" s="11" t="n">
        <v>80000</v>
      </c>
      <c r="E34" s="25">
        <f>IF(D34=0,0,D34/(1-B4))</f>
        <v/>
      </c>
      <c r="F34" s="25">
        <f>IF(E34=0,0,E34*B4)</f>
        <v/>
      </c>
      <c r="G34" s="26">
        <f>B5</f>
        <v/>
      </c>
      <c r="H34" s="25">
        <f>IF(E34=0,0,E34*G34)</f>
        <v/>
      </c>
      <c r="I34" s="27">
        <f>IF(B34=0,0,(E34+H34)*B34)</f>
        <v/>
      </c>
      <c r="J34" s="27">
        <f>IF(C34=0,0,(E34+H34)*C34)</f>
        <v/>
      </c>
    </row>
    <row r="35">
      <c r="A35" s="10" t="inlineStr">
        <is>
          <t xml:space="preserve">    Менеджер разъездной (доля)</t>
        </is>
      </c>
      <c r="B35" s="24" t="n"/>
      <c r="C35" s="24" t="n"/>
      <c r="D35" s="11" t="n">
        <v>120000</v>
      </c>
      <c r="E35" s="25">
        <f>IF(D35=0,0,D35/(1-B4))</f>
        <v/>
      </c>
      <c r="F35" s="25">
        <f>IF(E35=0,0,E35*B4)</f>
        <v/>
      </c>
      <c r="G35" s="26">
        <f>B5</f>
        <v/>
      </c>
      <c r="H35" s="25">
        <f>IF(E35=0,0,E35*G35)</f>
        <v/>
      </c>
      <c r="I35" s="27">
        <f>IF(B35=0,0,(E35+H35)*B35)</f>
        <v/>
      </c>
      <c r="J35" s="27">
        <f>IF(C35=0,0,(E35+H35)*C35)</f>
        <v/>
      </c>
    </row>
    <row r="36">
      <c r="A36" s="38" t="inlineStr">
        <is>
          <t xml:space="preserve">  ИТОГО АУП</t>
        </is>
      </c>
      <c r="B36" s="40">
        <f>SUM(B34,B35)</f>
        <v/>
      </c>
      <c r="C36" s="40">
        <f>SUM(C34,C35)</f>
        <v/>
      </c>
      <c r="D36" s="41" t="n"/>
      <c r="E36" s="41" t="n"/>
      <c r="F36" s="41" t="n"/>
      <c r="G36" s="41" t="n"/>
      <c r="H36" s="41" t="n"/>
      <c r="I36" s="42">
        <f>SUM(I34,I35)</f>
        <v/>
      </c>
      <c r="J36" s="42">
        <f>SUM(J34,J35)</f>
        <v/>
      </c>
    </row>
    <row r="38">
      <c r="A38" s="6" t="inlineStr">
        <is>
          <t>ИТОГО ФОТ ПО ВСЕМ НАПРАВЛЕНИЯМ (с налогами)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43" t="inlineStr">
        <is>
          <t>Всего ФОТ — ЛЕТНИЙ месяц</t>
        </is>
      </c>
      <c r="B39" s="44" t="n"/>
      <c r="C39" s="44" t="n"/>
      <c r="D39" s="44" t="n"/>
      <c r="E39" s="44" t="n"/>
      <c r="F39" s="44" t="n"/>
      <c r="G39" s="44" t="n"/>
      <c r="H39" s="44" t="n"/>
      <c r="I39" s="45">
        <f>I16+I24+I31+I36</f>
        <v/>
      </c>
      <c r="J39" s="44" t="n"/>
    </row>
    <row r="40">
      <c r="A40" s="43" t="inlineStr">
        <is>
          <t>Всего ФОТ — ЗИМНИЙ месяц</t>
        </is>
      </c>
      <c r="B40" s="44" t="n"/>
      <c r="C40" s="44" t="n"/>
      <c r="D40" s="44" t="n"/>
      <c r="E40" s="44" t="n"/>
      <c r="F40" s="44" t="n"/>
      <c r="G40" s="44" t="n"/>
      <c r="H40" s="44" t="n"/>
      <c r="I40" s="44" t="n"/>
      <c r="J40" s="45">
        <f>J16+J24+J31+J36</f>
        <v/>
      </c>
    </row>
    <row r="41">
      <c r="A41" s="46" t="inlineStr">
        <is>
          <t>Среднегодовой ФОТ/мес</t>
        </is>
      </c>
      <c r="B41" s="47" t="n"/>
      <c r="C41" s="47" t="n"/>
      <c r="D41" s="47" t="n"/>
      <c r="E41" s="47" t="n"/>
      <c r="F41" s="47" t="n"/>
      <c r="G41" s="47" t="n"/>
      <c r="H41" s="47" t="n"/>
      <c r="I41" s="48">
        <f>(I39*'📋 Параметры'!B42+J40*'📋 Параметры'!B43)/12</f>
        <v/>
      </c>
    </row>
    <row r="43">
      <c r="A43" s="8" t="inlineStr">
        <is>
          <t>Итого ЗП на руки / мес (лето)</t>
        </is>
      </c>
      <c r="B43" s="25">
        <f>SUMPRODUCT(B10:B36,D10:D36)</f>
        <v/>
      </c>
    </row>
    <row r="44">
      <c r="A44" s="8" t="inlineStr">
        <is>
          <t>Итого ЗП на руки / мес (зима)</t>
        </is>
      </c>
      <c r="B44" s="25">
        <f>SUMPRODUCT(C10:C36,D10:D36)</f>
        <v/>
      </c>
    </row>
  </sheetData>
  <mergeCells count="6">
    <mergeCell ref="A1:J1"/>
    <mergeCell ref="A18:J18"/>
    <mergeCell ref="A26:J26"/>
    <mergeCell ref="A38:J38"/>
    <mergeCell ref="A10:J10"/>
    <mergeCell ref="A33:J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16" customWidth="1" min="5" max="5"/>
  </cols>
  <sheetData>
    <row r="1" ht="28" customHeight="1">
      <c r="A1" s="18" t="inlineStr">
        <is>
          <t>📊  СМЕТА И РАСЧЁТ ЦЕНЫ КОНТРАКТА</t>
        </is>
      </c>
    </row>
    <row r="3" ht="28" customHeight="1">
      <c r="A3" s="49" t="inlineStr">
        <is>
          <t>Статья затрат</t>
        </is>
      </c>
      <c r="B3" s="50" t="inlineStr">
        <is>
          <t>Лето/мес</t>
        </is>
      </c>
      <c r="C3" s="51" t="inlineStr">
        <is>
          <t>Зима/мес</t>
        </is>
      </c>
      <c r="D3" s="49" t="inlineStr">
        <is>
          <t>Среднегод./мес</t>
        </is>
      </c>
      <c r="E3" s="49" t="inlineStr">
        <is>
          <t>% от себест.</t>
        </is>
      </c>
    </row>
    <row r="4">
      <c r="A4" s="6" t="inlineStr">
        <is>
          <t>А.  ФОТ (из листа «Расчёт ФОТ»)</t>
        </is>
      </c>
      <c r="B4" s="7" t="n"/>
      <c r="C4" s="7" t="n"/>
      <c r="D4" s="7" t="n"/>
      <c r="E4" s="7" t="n"/>
    </row>
    <row r="5">
      <c r="A5" s="52" t="inlineStr">
        <is>
          <t xml:space="preserve">  ⚠️  Заполните ячейки «Лето/мес» и «Зима/мес» вручную из листа «👥 Расчёт ФОТ» (строки ИТОГО по направлениям), ИЛИ удалите значения — тогда используйте формулы ниже.</t>
        </is>
      </c>
    </row>
    <row r="6">
      <c r="A6" s="12" t="inlineStr">
        <is>
          <t xml:space="preserve">  ФОТ МОП (с налогами)</t>
        </is>
      </c>
      <c r="B6" s="11" t="n">
        <v>0</v>
      </c>
      <c r="C6" s="11" t="n">
        <v>0</v>
      </c>
      <c r="D6" s="25">
        <f>(B6*'📋 Параметры'!B42+C6*'📋 Параметры'!B43)/12</f>
        <v/>
      </c>
      <c r="E6" s="10" t="inlineStr"/>
    </row>
    <row r="7">
      <c r="A7" s="14" t="inlineStr">
        <is>
          <t xml:space="preserve">  ФОТ ПТ (с налогами)</t>
        </is>
      </c>
      <c r="B7" s="11" t="n">
        <v>0</v>
      </c>
      <c r="C7" s="11" t="n">
        <v>0</v>
      </c>
      <c r="D7" s="25">
        <f>(B7*'📋 Параметры'!B42+C7*'📋 Параметры'!B43)/12</f>
        <v/>
      </c>
      <c r="E7" s="10" t="inlineStr"/>
    </row>
    <row r="8">
      <c r="A8" s="15" t="inlineStr">
        <is>
          <t xml:space="preserve">  ФОТ УДС (с налогами)</t>
        </is>
      </c>
      <c r="B8" s="11" t="n">
        <v>0</v>
      </c>
      <c r="C8" s="11" t="n">
        <v>0</v>
      </c>
      <c r="D8" s="25">
        <f>(B8*'📋 Параметры'!B42+C8*'📋 Параметры'!B43)/12</f>
        <v/>
      </c>
      <c r="E8" s="10" t="inlineStr"/>
    </row>
    <row r="9">
      <c r="A9" s="41" t="inlineStr">
        <is>
          <t xml:space="preserve">  ФОТ АУП (с налогами)</t>
        </is>
      </c>
      <c r="B9" s="11" t="n">
        <v>0</v>
      </c>
      <c r="C9" s="11" t="n">
        <v>0</v>
      </c>
      <c r="D9" s="25">
        <f>(B9*'📋 Параметры'!B42+C9*'📋 Параметры'!B43)/12</f>
        <v/>
      </c>
      <c r="E9" s="10" t="inlineStr"/>
    </row>
    <row r="10">
      <c r="A10" s="6" t="inlineStr">
        <is>
          <t xml:space="preserve">  ИТОГО ФОТ</t>
        </is>
      </c>
      <c r="B10" s="53">
        <f>SUM(B6,B7,B8,B9)</f>
        <v/>
      </c>
      <c r="C10" s="53">
        <f>SUM(C6,C7,C8,C9)</f>
        <v/>
      </c>
      <c r="D10" s="53">
        <f>SUM(D6,D7,D8,D9)</f>
        <v/>
      </c>
      <c r="E10" s="54" t="inlineStr"/>
    </row>
    <row r="12">
      <c r="A12" s="6" t="inlineStr">
        <is>
          <t>Б.  ПРОЧИЕ ПРЯМЫЕ ЗАТРАТЫ</t>
        </is>
      </c>
      <c r="B12" s="7" t="n"/>
      <c r="C12" s="7" t="n"/>
      <c r="D12" s="7" t="n"/>
      <c r="E12" s="7" t="n"/>
    </row>
    <row r="13">
      <c r="A13" s="10" t="inlineStr">
        <is>
          <t xml:space="preserve">  Расходные материалы и моющие средства</t>
        </is>
      </c>
      <c r="B13" s="11" t="n">
        <v>20000</v>
      </c>
      <c r="C13" s="11" t="n">
        <v>20000</v>
      </c>
      <c r="D13" s="25">
        <f>(B13*'📋 Параметры'!B42+C13*'📋 Параметры'!B43)/12</f>
        <v/>
      </c>
      <c r="E13" s="10" t="inlineStr"/>
    </row>
    <row r="14">
      <c r="A14" s="10" t="inlineStr">
        <is>
          <t xml:space="preserve">  Сыпучие материалы (ПТ, сезонно)</t>
        </is>
      </c>
      <c r="B14" s="11" t="n">
        <v>10000</v>
      </c>
      <c r="C14" s="11" t="n">
        <v>30000</v>
      </c>
      <c r="D14" s="25">
        <f>(B14*'📋 Параметры'!B42+C14*'📋 Параметры'!B43)/12</f>
        <v/>
      </c>
      <c r="E14" s="10" t="inlineStr"/>
    </row>
    <row r="15">
      <c r="A15" s="10" t="inlineStr">
        <is>
          <t xml:space="preserve">  Малый инвентарь (лопаты, грабли, мётлы)</t>
        </is>
      </c>
      <c r="B15" s="11" t="n">
        <v>5000</v>
      </c>
      <c r="C15" s="11" t="n">
        <v>5000</v>
      </c>
      <c r="D15" s="25">
        <f>(B15*'📋 Параметры'!B42+C15*'📋 Параметры'!B43)/12</f>
        <v/>
      </c>
      <c r="E15" s="10" t="inlineStr"/>
    </row>
    <row r="16">
      <c r="A16" s="10" t="inlineStr">
        <is>
          <t xml:space="preserve">  Обслуживание и ремонт техники</t>
        </is>
      </c>
      <c r="B16" s="11" t="n">
        <v>5000</v>
      </c>
      <c r="C16" s="11" t="n">
        <v>5000</v>
      </c>
      <c r="D16" s="25">
        <f>(B16*'📋 Параметры'!B42+C16*'📋 Параметры'!B43)/12</f>
        <v/>
      </c>
      <c r="E16" s="10" t="inlineStr"/>
    </row>
    <row r="17">
      <c r="A17" s="10" t="inlineStr">
        <is>
          <t xml:space="preserve">  Спецодежда и обувь (в мес.)</t>
        </is>
      </c>
      <c r="B17" s="11" t="n">
        <v>3000</v>
      </c>
      <c r="C17" s="11" t="n">
        <v>4000</v>
      </c>
      <c r="D17" s="25">
        <f>(B17*'📋 Параметры'!B42+C17*'📋 Параметры'!B43)/12</f>
        <v/>
      </c>
      <c r="E17" s="10" t="inlineStr"/>
    </row>
    <row r="18">
      <c r="A18" s="10" t="inlineStr">
        <is>
          <t xml:space="preserve">  Вывоз мусора</t>
        </is>
      </c>
      <c r="B18" s="11" t="n"/>
      <c r="C18" s="11" t="n"/>
      <c r="D18" s="25">
        <f>(B18*'📋 Параметры'!B42+C18*'📋 Параметры'!B43)/12</f>
        <v/>
      </c>
      <c r="E18" s="10" t="inlineStr"/>
    </row>
    <row r="19">
      <c r="A19" s="10" t="inlineStr">
        <is>
          <t xml:space="preserve">  Прочие прямые расходы</t>
        </is>
      </c>
      <c r="B19" s="11" t="n"/>
      <c r="C19" s="11" t="n"/>
      <c r="D19" s="25">
        <f>(B19*'📋 Параметры'!B42+C19*'📋 Параметры'!B43)/12</f>
        <v/>
      </c>
      <c r="E19" s="10" t="inlineStr"/>
    </row>
    <row r="20">
      <c r="A20" s="6" t="inlineStr">
        <is>
          <t xml:space="preserve">  ИТОГО прочие прямые</t>
        </is>
      </c>
      <c r="B20" s="53">
        <f>SUM(B13+B14+B15+B16+B17+B18+B19)</f>
        <v/>
      </c>
      <c r="C20" s="53">
        <f>SUM(C13+C14+C15+C16+C17+C18+C19)</f>
        <v/>
      </c>
      <c r="D20" s="53">
        <f>SUM(D13,D14,D15,D16,D17,D18,D19)</f>
        <v/>
      </c>
      <c r="E20" s="54" t="inlineStr"/>
    </row>
    <row r="22">
      <c r="A22" s="55" t="inlineStr">
        <is>
          <t>В.  СЕБЕСТОИМОСТЬ</t>
        </is>
      </c>
      <c r="B22" s="56" t="n"/>
      <c r="C22" s="56" t="n"/>
      <c r="D22" s="56" t="n"/>
      <c r="E22" s="56" t="n"/>
    </row>
    <row r="23">
      <c r="A23" s="57" t="inlineStr">
        <is>
          <t>ИТОГО СЕБЕСТОИМОСТЬ</t>
        </is>
      </c>
      <c r="B23" s="45">
        <f>B10+B20</f>
        <v/>
      </c>
      <c r="C23" s="45">
        <f>C10+C20</f>
        <v/>
      </c>
      <c r="D23" s="45">
        <f>D10+D20</f>
        <v/>
      </c>
      <c r="E23" s="58" t="inlineStr">
        <is>
          <t>100%</t>
        </is>
      </c>
    </row>
    <row r="25">
      <c r="A25" s="59" t="inlineStr">
        <is>
          <t>Г.  РАСЧЁТ ЦЕНЫ КОНТРАКТА (по методологии Опенбук)</t>
        </is>
      </c>
      <c r="B25" s="60" t="n"/>
      <c r="C25" s="60" t="n"/>
      <c r="D25" s="60" t="n"/>
      <c r="E25" s="60" t="n"/>
    </row>
    <row r="26">
      <c r="A26" s="47" t="inlineStr">
        <is>
          <t xml:space="preserve">  Накладные расходы (%)</t>
        </is>
      </c>
      <c r="B26" s="10" t="n"/>
      <c r="C26" s="10" t="n"/>
      <c r="D26" s="25">
        <f>D23*'📋 Параметры'!B35</f>
        <v/>
      </c>
      <c r="E26" s="61">
        <f>'📋 Параметры'!B35</f>
        <v/>
      </c>
    </row>
    <row r="27">
      <c r="A27" s="47" t="inlineStr">
        <is>
          <t xml:space="preserve">  Прибыль (%)</t>
        </is>
      </c>
      <c r="B27" s="10" t="n"/>
      <c r="C27" s="10" t="n"/>
      <c r="D27" s="25">
        <f>D23*'📋 Параметры'!B37</f>
        <v/>
      </c>
      <c r="E27" s="61">
        <f>'📋 Параметры'!B28</f>
        <v/>
      </c>
    </row>
    <row r="28">
      <c r="A28" s="47" t="inlineStr">
        <is>
          <t xml:space="preserve">  Налог на прибыль (15%)</t>
        </is>
      </c>
      <c r="B28" s="10" t="n"/>
      <c r="C28" s="10" t="n"/>
      <c r="D28" s="25">
        <f>D23*'📋 Параметры'!B36*'📋 Параметры'!B32</f>
        <v/>
      </c>
      <c r="E28" s="61" t="inlineStr">
        <is>
          <t>15%</t>
        </is>
      </c>
    </row>
    <row r="29">
      <c r="A29" s="57" t="inlineStr">
        <is>
          <t>Стоимость контракта БЕЗ НДС/мес</t>
        </is>
      </c>
      <c r="B29" s="44" t="n"/>
      <c r="C29" s="44" t="n"/>
      <c r="D29" s="45">
        <f>D23+D26+D27+D28</f>
        <v/>
      </c>
      <c r="E29" s="44" t="n"/>
    </row>
    <row r="30">
      <c r="A30" s="47" t="inlineStr">
        <is>
          <t>НДС 5%/мес</t>
        </is>
      </c>
      <c r="B30" s="47" t="n"/>
      <c r="C30" s="47" t="n"/>
      <c r="D30" s="25">
        <f>D29*'📋 Параметры'!B26</f>
        <v/>
      </c>
      <c r="E30" s="47" t="n"/>
    </row>
    <row r="31">
      <c r="A31" s="62" t="inlineStr">
        <is>
          <t>★  СТОИМОСТЬ КОНТРАКТА С НДС/мес</t>
        </is>
      </c>
      <c r="B31" s="63" t="n"/>
      <c r="C31" s="63" t="n"/>
      <c r="D31" s="64">
        <f>D29+D30</f>
        <v/>
      </c>
      <c r="E31" s="63" t="n"/>
    </row>
    <row r="33">
      <c r="A33" s="6" t="inlineStr">
        <is>
          <t>Д.  КЛЮЧЕВЫЕ ПОКАЗАТЕЛИ</t>
        </is>
      </c>
      <c r="B33" s="7" t="n"/>
      <c r="C33" s="7" t="n"/>
      <c r="D33" s="7" t="n"/>
      <c r="E33" s="7" t="n"/>
    </row>
    <row r="34">
      <c r="A34" s="19" t="inlineStr">
        <is>
          <t xml:space="preserve">  Себестоимость/мес (среднегод.)</t>
        </is>
      </c>
      <c r="B34" s="8" t="n"/>
      <c r="C34" s="8" t="n"/>
      <c r="D34" s="65">
        <f>D23</f>
        <v/>
      </c>
      <c r="E34" s="8" t="n"/>
    </row>
    <row r="35">
      <c r="A35" s="43" t="inlineStr">
        <is>
          <t xml:space="preserve">  Цена контракта/мес (с НДС)</t>
        </is>
      </c>
      <c r="B35" s="44" t="n"/>
      <c r="C35" s="44" t="n"/>
      <c r="D35" s="27">
        <f>D31</f>
        <v/>
      </c>
      <c r="E35" s="44" t="n"/>
    </row>
    <row r="36">
      <c r="A36" s="43" t="inlineStr">
        <is>
          <t xml:space="preserve">  Чистая прибыль/мес (до КП-метода)</t>
        </is>
      </c>
      <c r="B36" s="44" t="n"/>
      <c r="C36" s="44" t="n"/>
      <c r="D36" s="27">
        <f>D31-D23-D30-D23*'📋 Параметры'!B36*'📋 Параметры'!B32</f>
        <v/>
      </c>
      <c r="E36" s="44" t="n"/>
    </row>
    <row r="37">
      <c r="A37" s="43" t="inlineStr">
        <is>
          <t xml:space="preserve">  Рентабельность ЧП (от цены без НДС)</t>
        </is>
      </c>
      <c r="B37" s="44" t="n"/>
      <c r="C37" s="44" t="n"/>
      <c r="D37" s="66">
        <f>IFERROR((D29-D23)/ D29,0)</f>
        <v/>
      </c>
      <c r="E37" s="44" t="n"/>
    </row>
    <row r="38">
      <c r="A38" s="19" t="inlineStr">
        <is>
          <t xml:space="preserve">  ФОТ / Выручка</t>
        </is>
      </c>
      <c r="B38" s="8" t="n"/>
      <c r="C38" s="8" t="n"/>
      <c r="D38" s="67">
        <f>IFERROR(D10/D31,0)</f>
        <v/>
      </c>
      <c r="E38" s="8" t="n"/>
    </row>
  </sheetData>
  <mergeCells count="7">
    <mergeCell ref="A12:E12"/>
    <mergeCell ref="A4:E4"/>
    <mergeCell ref="A25:E25"/>
    <mergeCell ref="A33:E33"/>
    <mergeCell ref="A1:E1"/>
    <mergeCell ref="A5:E5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N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8" customHeight="1">
      <c r="A1" s="18" t="inlineStr">
        <is>
          <t>💰  П&amp;Л — ОТЧЁТ О ПРИБЫЛЯХ И УБЫТКАХ (по месяцам)</t>
        </is>
      </c>
    </row>
    <row r="3" ht="22" customHeight="1">
      <c r="A3" s="68" t="inlineStr">
        <is>
          <t>Статья</t>
        </is>
      </c>
      <c r="B3" s="68" t="inlineStr">
        <is>
          <t>Янв</t>
        </is>
      </c>
      <c r="C3" s="68" t="inlineStr">
        <is>
          <t>Фев</t>
        </is>
      </c>
      <c r="D3" s="68" t="inlineStr">
        <is>
          <t>Мар</t>
        </is>
      </c>
      <c r="E3" s="68" t="inlineStr">
        <is>
          <t>Апр</t>
        </is>
      </c>
      <c r="F3" s="68" t="inlineStr">
        <is>
          <t>Май</t>
        </is>
      </c>
      <c r="G3" s="68" t="inlineStr">
        <is>
          <t>Июн</t>
        </is>
      </c>
      <c r="H3" s="68" t="inlineStr">
        <is>
          <t>Июл</t>
        </is>
      </c>
      <c r="I3" s="68" t="inlineStr">
        <is>
          <t>Авг</t>
        </is>
      </c>
      <c r="J3" s="68" t="inlineStr">
        <is>
          <t>Сен</t>
        </is>
      </c>
      <c r="K3" s="68" t="inlineStr">
        <is>
          <t>Окт</t>
        </is>
      </c>
      <c r="L3" s="68" t="inlineStr">
        <is>
          <t>Ноя</t>
        </is>
      </c>
      <c r="M3" s="68" t="inlineStr">
        <is>
          <t>Дек</t>
        </is>
      </c>
      <c r="N3" s="68" t="inlineStr">
        <is>
          <t>Итого</t>
        </is>
      </c>
    </row>
    <row r="4">
      <c r="A4" s="6" t="inlineStr">
        <is>
          <t>ВЫРУЧКА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9" t="inlineStr">
        <is>
          <t xml:space="preserve">  Контракт МОП (с НДС)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>
        <f>SUM(B5,C5,D5,E5,F5,G5,H5,I5,J5,K5,L5,M5)</f>
        <v/>
      </c>
    </row>
    <row r="6">
      <c r="A6" s="9" t="inlineStr">
        <is>
          <t xml:space="preserve">  Контракт ПТ (с НДС)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>
        <f>SUM(B6,C6,D6,E6,F6,G6,H6,I6,J6,K6,L6,M6)</f>
        <v/>
      </c>
    </row>
    <row r="7">
      <c r="A7" s="9" t="inlineStr">
        <is>
          <t xml:space="preserve">  Контракт УДС (с НДС)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>
        <f>SUM(B7,C7,D7,E7,F7,G7,H7,I7,J7,K7,L7,M7)</f>
        <v/>
      </c>
    </row>
    <row r="8">
      <c r="A8" s="9" t="inlineStr">
        <is>
          <t xml:space="preserve">  Доп. услуги / снег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>
        <f>SUM(B8,C8,D8,E8,F8,G8,H8,I8,J8,K8,L8,M8)</f>
        <v/>
      </c>
    </row>
    <row r="9">
      <c r="A9" s="43" t="inlineStr">
        <is>
          <t>ИТОГО ВЫРУЧКА</t>
        </is>
      </c>
      <c r="B9" s="27">
        <f>SUM(B5,B6,B7,B8)</f>
        <v/>
      </c>
      <c r="C9" s="27">
        <f>SUM(C5,C6,C7,C8)</f>
        <v/>
      </c>
      <c r="D9" s="27">
        <f>SUM(D5,D6,D7,D8)</f>
        <v/>
      </c>
      <c r="E9" s="27">
        <f>SUM(E5,E6,E7,E8)</f>
        <v/>
      </c>
      <c r="F9" s="27">
        <f>SUM(F5,F6,F7,F8)</f>
        <v/>
      </c>
      <c r="G9" s="27">
        <f>SUM(G5,G6,G7,G8)</f>
        <v/>
      </c>
      <c r="H9" s="27">
        <f>SUM(H5,H6,H7,H8)</f>
        <v/>
      </c>
      <c r="I9" s="27">
        <f>SUM(I5,I6,I7,I8)</f>
        <v/>
      </c>
      <c r="J9" s="27">
        <f>SUM(J5,J6,J7,J8)</f>
        <v/>
      </c>
      <c r="K9" s="27">
        <f>SUM(K5,K6,K7,K8)</f>
        <v/>
      </c>
      <c r="L9" s="27">
        <f>SUM(L5,L6,L7,L8)</f>
        <v/>
      </c>
      <c r="M9" s="27">
        <f>SUM(M5,M6,M7,M8)</f>
        <v/>
      </c>
      <c r="N9" s="27">
        <f>SUM(N5,N6,N7,N8)</f>
        <v/>
      </c>
    </row>
    <row r="11">
      <c r="A11" s="6" t="inlineStr">
        <is>
          <t>ПРЯМЫЕ РАСХОДЫ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12" t="inlineStr">
        <is>
          <t xml:space="preserve">  ФОТ МОП (с налогами)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69">
        <f>SUM(B12,C12,D12,E12,F12,G12,H12,I12,J12,K12,L12,M12)</f>
        <v/>
      </c>
    </row>
    <row r="13">
      <c r="A13" s="14" t="inlineStr">
        <is>
          <t xml:space="preserve">  ФОТ ПТ (с налогами)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70">
        <f>SUM(B13,C13,D13,E13,F13,G13,H13,I13,J13,K13,L13,M13)</f>
        <v/>
      </c>
    </row>
    <row r="14">
      <c r="A14" s="15" t="inlineStr">
        <is>
          <t xml:space="preserve">  ФОТ УДС (с налогами)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71">
        <f>SUM(B14,C14,D14,E14,F14,G14,H14,I14,J14,K14,L14,M14)</f>
        <v/>
      </c>
    </row>
    <row r="15">
      <c r="A15" s="41" t="inlineStr">
        <is>
          <t xml:space="preserve">  ФОТ АУП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72">
        <f>SUM(B15,C15,D15,E15,F15,G15,H15,I15,J15,K15,L15,M15)</f>
        <v/>
      </c>
    </row>
    <row r="16">
      <c r="A16" s="10" t="inlineStr">
        <is>
          <t xml:space="preserve">  Переменные (материалы, расходники)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73">
        <f>SUM(B16,C16,D16,E16,F16,G16,H16,I16,J16,K16,L16,M16)</f>
        <v/>
      </c>
    </row>
    <row r="17">
      <c r="A17" s="10" t="inlineStr">
        <is>
          <t xml:space="preserve">  Обслуживание техники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73">
        <f>SUM(B17,C17,D17,E17,F17,G17,H17,I17,J17,K17,L17,M17)</f>
        <v/>
      </c>
    </row>
    <row r="18">
      <c r="A18" s="10" t="inlineStr">
        <is>
          <t xml:space="preserve">  Спецодежда / инвентарь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73">
        <f>SUM(B18,C18,D18,E18,F18,G18,H18,I18,J18,K18,L18,M18)</f>
        <v/>
      </c>
    </row>
    <row r="19">
      <c r="A19" s="10" t="inlineStr">
        <is>
          <t xml:space="preserve">  Прочие прямые расходы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73">
        <f>SUM(B19,C19,D19,E19,F19,G19,H19,I19,J19,K19,L19,M19)</f>
        <v/>
      </c>
    </row>
    <row r="20">
      <c r="A20" s="74" t="inlineStr">
        <is>
          <t>ИТОГО ПРЯМЫЕ РАСХОДЫ</t>
        </is>
      </c>
      <c r="B20" s="75">
        <f>SUM(B12,B13,B14,B15,B16,B17,B18,B19)</f>
        <v/>
      </c>
      <c r="C20" s="75">
        <f>SUM(C12,C13,C14,C15,C16,C17,C18,C19)</f>
        <v/>
      </c>
      <c r="D20" s="75">
        <f>SUM(D12,D13,D14,D15,D16,D17,D18,D19)</f>
        <v/>
      </c>
      <c r="E20" s="75">
        <f>SUM(E12,E13,E14,E15,E16,E17,E18,E19)</f>
        <v/>
      </c>
      <c r="F20" s="75">
        <f>SUM(F12,F13,F14,F15,F16,F17,F18,F19)</f>
        <v/>
      </c>
      <c r="G20" s="75">
        <f>SUM(G12,G13,G14,G15,G16,G17,G18,G19)</f>
        <v/>
      </c>
      <c r="H20" s="75">
        <f>SUM(H12,H13,H14,H15,H16,H17,H18,H19)</f>
        <v/>
      </c>
      <c r="I20" s="75">
        <f>SUM(I12,I13,I14,I15,I16,I17,I18,I19)</f>
        <v/>
      </c>
      <c r="J20" s="75">
        <f>SUM(J12,J13,J14,J15,J16,J17,J18,J19)</f>
        <v/>
      </c>
      <c r="K20" s="75">
        <f>SUM(K12,K13,K14,K15,K16,K17,K18,K19)</f>
        <v/>
      </c>
      <c r="L20" s="75">
        <f>SUM(L12,L13,L14,L15,L16,L17,L18,L19)</f>
        <v/>
      </c>
      <c r="M20" s="75">
        <f>SUM(M12,M13,M14,M15,M16,M17,M18,M19)</f>
        <v/>
      </c>
      <c r="N20" s="75">
        <f>SUM(N12,N13,N14,N15,N16,N17,N18,N19)</f>
        <v/>
      </c>
    </row>
    <row r="21">
      <c r="A21" s="43" t="inlineStr">
        <is>
          <t>ВАЛОВАЯ ПРИБЫЛЬ</t>
        </is>
      </c>
      <c r="B21" s="27">
        <f>B9-B20</f>
        <v/>
      </c>
      <c r="C21" s="27">
        <f>C9-C20</f>
        <v/>
      </c>
      <c r="D21" s="27">
        <f>D9-D20</f>
        <v/>
      </c>
      <c r="E21" s="27">
        <f>E9-E20</f>
        <v/>
      </c>
      <c r="F21" s="27">
        <f>F9-F20</f>
        <v/>
      </c>
      <c r="G21" s="27">
        <f>G9-G20</f>
        <v/>
      </c>
      <c r="H21" s="27">
        <f>H9-H20</f>
        <v/>
      </c>
      <c r="I21" s="27">
        <f>I9-I20</f>
        <v/>
      </c>
      <c r="J21" s="27">
        <f>J9-J20</f>
        <v/>
      </c>
      <c r="K21" s="27">
        <f>K9-K20</f>
        <v/>
      </c>
      <c r="L21" s="27">
        <f>L9-L20</f>
        <v/>
      </c>
      <c r="M21" s="27">
        <f>M9-M20</f>
        <v/>
      </c>
      <c r="N21" s="27">
        <f>N9-N20</f>
        <v/>
      </c>
    </row>
    <row r="22">
      <c r="A22" s="76" t="inlineStr">
        <is>
          <t xml:space="preserve">  Валовая рентабельность</t>
        </is>
      </c>
      <c r="B22" s="77">
        <f>IFERROR(B21/B9,0)</f>
        <v/>
      </c>
      <c r="C22" s="77">
        <f>IFERROR(C21/C9,0)</f>
        <v/>
      </c>
      <c r="D22" s="77">
        <f>IFERROR(D21/D9,0)</f>
        <v/>
      </c>
      <c r="E22" s="77">
        <f>IFERROR(E21/E9,0)</f>
        <v/>
      </c>
      <c r="F22" s="77">
        <f>IFERROR(F21/F9,0)</f>
        <v/>
      </c>
      <c r="G22" s="77">
        <f>IFERROR(G21/G9,0)</f>
        <v/>
      </c>
      <c r="H22" s="77">
        <f>IFERROR(H21/H9,0)</f>
        <v/>
      </c>
      <c r="I22" s="77">
        <f>IFERROR(I21/I9,0)</f>
        <v/>
      </c>
      <c r="J22" s="77">
        <f>IFERROR(J21/J9,0)</f>
        <v/>
      </c>
      <c r="K22" s="77">
        <f>IFERROR(K21/K9,0)</f>
        <v/>
      </c>
      <c r="L22" s="77">
        <f>IFERROR(L21/L9,0)</f>
        <v/>
      </c>
      <c r="M22" s="77">
        <f>IFERROR(M21/M9,0)</f>
        <v/>
      </c>
      <c r="N22" s="77">
        <f>IFERROR(N21/N9,0)</f>
        <v/>
      </c>
    </row>
    <row r="24">
      <c r="A24" s="6" t="inlineStr">
        <is>
          <t>КОСВЕННЫЕ РАСХОДЫ (Бэк-офис + Управление)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47" t="inlineStr">
        <is>
          <t xml:space="preserve">  Расходы Бэк-Офис (% от выручки)</t>
        </is>
      </c>
      <c r="B25" s="25">
        <f>B9*'📋 Параметры'!B38</f>
        <v/>
      </c>
      <c r="C25" s="25">
        <f>C9*'📋 Параметры'!B38</f>
        <v/>
      </c>
      <c r="D25" s="25">
        <f>D9*'📋 Параметры'!B38</f>
        <v/>
      </c>
      <c r="E25" s="25">
        <f>E9*'📋 Параметры'!B38</f>
        <v/>
      </c>
      <c r="F25" s="25">
        <f>F9*'📋 Параметры'!B38</f>
        <v/>
      </c>
      <c r="G25" s="25">
        <f>G9*'📋 Параметры'!B38</f>
        <v/>
      </c>
      <c r="H25" s="25">
        <f>H9*'📋 Параметры'!B38</f>
        <v/>
      </c>
      <c r="I25" s="25">
        <f>I9*'📋 Параметры'!B38</f>
        <v/>
      </c>
      <c r="J25" s="25">
        <f>J9*'📋 Параметры'!B38</f>
        <v/>
      </c>
      <c r="K25" s="25">
        <f>K9*'📋 Параметры'!B38</f>
        <v/>
      </c>
      <c r="L25" s="25">
        <f>L9*'📋 Параметры'!B38</f>
        <v/>
      </c>
      <c r="M25" s="25">
        <f>M9*'📋 Параметры'!B38</f>
        <v/>
      </c>
      <c r="N25" s="25">
        <f>SUM(B25,C25,D25,E25,F25,G25,H25,I25,J25,K25,L25,M25)</f>
        <v/>
      </c>
    </row>
    <row r="26">
      <c r="A26" s="47" t="inlineStr">
        <is>
          <t xml:space="preserve">  Расходы управления (% от выручки)</t>
        </is>
      </c>
      <c r="B26" s="25">
        <f>B9*'📋 Параметры'!B39</f>
        <v/>
      </c>
      <c r="C26" s="25">
        <f>C9*'📋 Параметры'!B39</f>
        <v/>
      </c>
      <c r="D26" s="25">
        <f>D9*'📋 Параметры'!B39</f>
        <v/>
      </c>
      <c r="E26" s="25">
        <f>E9*'📋 Параметры'!B39</f>
        <v/>
      </c>
      <c r="F26" s="25">
        <f>F9*'📋 Параметры'!B39</f>
        <v/>
      </c>
      <c r="G26" s="25">
        <f>G9*'📋 Параметры'!B39</f>
        <v/>
      </c>
      <c r="H26" s="25">
        <f>H9*'📋 Параметры'!B39</f>
        <v/>
      </c>
      <c r="I26" s="25">
        <f>I9*'📋 Параметры'!B39</f>
        <v/>
      </c>
      <c r="J26" s="25">
        <f>J9*'📋 Параметры'!B39</f>
        <v/>
      </c>
      <c r="K26" s="25">
        <f>K9*'📋 Параметры'!B39</f>
        <v/>
      </c>
      <c r="L26" s="25">
        <f>L9*'📋 Параметры'!B39</f>
        <v/>
      </c>
      <c r="M26" s="25">
        <f>M9*'📋 Параметры'!B39</f>
        <v/>
      </c>
      <c r="N26" s="25">
        <f>SUM(B26,C26,D26,E26,F26,G26,H26,I26,J26,K26,L26,M26)</f>
        <v/>
      </c>
    </row>
    <row r="27">
      <c r="A27" s="47" t="inlineStr">
        <is>
          <t xml:space="preserve">  Прочие административные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25">
        <f>SUM(B27,C27,D27,E27,F27,G27,H27,I27,J27,K27,L27,M27)</f>
        <v/>
      </c>
    </row>
    <row r="28">
      <c r="A28" s="6" t="inlineStr">
        <is>
          <t>ИТОГО КОСВЕННЫЕ</t>
        </is>
      </c>
      <c r="B28" s="53">
        <f>SUM(B25,B26,B27)</f>
        <v/>
      </c>
      <c r="C28" s="53">
        <f>SUM(C25,C26,C27)</f>
        <v/>
      </c>
      <c r="D28" s="53">
        <f>SUM(D25,D26,D27)</f>
        <v/>
      </c>
      <c r="E28" s="53">
        <f>SUM(E25,E26,E27)</f>
        <v/>
      </c>
      <c r="F28" s="53">
        <f>SUM(F25,F26,F27)</f>
        <v/>
      </c>
      <c r="G28" s="53">
        <f>SUM(G25,G26,G27)</f>
        <v/>
      </c>
      <c r="H28" s="53">
        <f>SUM(H25,H26,H27)</f>
        <v/>
      </c>
      <c r="I28" s="53">
        <f>SUM(I25,I26,I27)</f>
        <v/>
      </c>
      <c r="J28" s="53">
        <f>SUM(J25,J26,J27)</f>
        <v/>
      </c>
      <c r="K28" s="53">
        <f>SUM(K25,K26,K27)</f>
        <v/>
      </c>
      <c r="L28" s="53">
        <f>SUM(L25,L26,L27)</f>
        <v/>
      </c>
      <c r="M28" s="53">
        <f>SUM(M25,M26,M27)</f>
        <v/>
      </c>
      <c r="N28" s="53">
        <f>SUM(N25,N26,N27)</f>
        <v/>
      </c>
    </row>
    <row r="29">
      <c r="A29" s="43" t="inlineStr">
        <is>
          <t>ОПЕРАЦИОННАЯ ПРИБЫЛЬ</t>
        </is>
      </c>
      <c r="B29" s="27">
        <f>B21-B28</f>
        <v/>
      </c>
      <c r="C29" s="27">
        <f>C21-C28</f>
        <v/>
      </c>
      <c r="D29" s="27">
        <f>D21-D28</f>
        <v/>
      </c>
      <c r="E29" s="27">
        <f>E21-E28</f>
        <v/>
      </c>
      <c r="F29" s="27">
        <f>F21-F28</f>
        <v/>
      </c>
      <c r="G29" s="27">
        <f>G21-G28</f>
        <v/>
      </c>
      <c r="H29" s="27">
        <f>H21-H28</f>
        <v/>
      </c>
      <c r="I29" s="27">
        <f>I21-I28</f>
        <v/>
      </c>
      <c r="J29" s="27">
        <f>J21-J28</f>
        <v/>
      </c>
      <c r="K29" s="27">
        <f>K21-K28</f>
        <v/>
      </c>
      <c r="L29" s="27">
        <f>L21-L28</f>
        <v/>
      </c>
      <c r="M29" s="27">
        <f>M21-M28</f>
        <v/>
      </c>
      <c r="N29" s="27">
        <f>N21-N28</f>
        <v/>
      </c>
    </row>
    <row r="30">
      <c r="A30" s="76" t="inlineStr">
        <is>
          <t xml:space="preserve">  Операционная рентабельность</t>
        </is>
      </c>
      <c r="B30" s="77">
        <f>IFERROR(B29/B9,0)</f>
        <v/>
      </c>
      <c r="C30" s="77">
        <f>IFERROR(C29/C9,0)</f>
        <v/>
      </c>
      <c r="D30" s="77">
        <f>IFERROR(D29/D9,0)</f>
        <v/>
      </c>
      <c r="E30" s="77">
        <f>IFERROR(E29/E9,0)</f>
        <v/>
      </c>
      <c r="F30" s="77">
        <f>IFERROR(F29/F9,0)</f>
        <v/>
      </c>
      <c r="G30" s="77">
        <f>IFERROR(G29/G9,0)</f>
        <v/>
      </c>
      <c r="H30" s="77">
        <f>IFERROR(H29/H9,0)</f>
        <v/>
      </c>
      <c r="I30" s="77">
        <f>IFERROR(I29/I9,0)</f>
        <v/>
      </c>
      <c r="J30" s="77">
        <f>IFERROR(J29/J9,0)</f>
        <v/>
      </c>
      <c r="K30" s="77">
        <f>IFERROR(K29/K9,0)</f>
        <v/>
      </c>
      <c r="L30" s="77">
        <f>IFERROR(L29/L9,0)</f>
        <v/>
      </c>
      <c r="M30" s="77">
        <f>IFERROR(M29/M9,0)</f>
        <v/>
      </c>
      <c r="N30" s="77">
        <f>IFERROR(N29/N9,0)</f>
        <v/>
      </c>
    </row>
    <row r="32">
      <c r="A32" s="6" t="inlineStr">
        <is>
          <t>НАЛОГИ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47" t="inlineStr">
        <is>
          <t xml:space="preserve">  НДС 5% (от выручки)</t>
        </is>
      </c>
      <c r="B33" s="25">
        <f>B9*'📋 Параметры'!B26</f>
        <v/>
      </c>
      <c r="C33" s="25">
        <f>C9*'📋 Параметры'!B26</f>
        <v/>
      </c>
      <c r="D33" s="25">
        <f>D9*'📋 Параметры'!B26</f>
        <v/>
      </c>
      <c r="E33" s="25">
        <f>E9*'📋 Параметры'!B26</f>
        <v/>
      </c>
      <c r="F33" s="25">
        <f>F9*'📋 Параметры'!B26</f>
        <v/>
      </c>
      <c r="G33" s="25">
        <f>G9*'📋 Параметры'!B26</f>
        <v/>
      </c>
      <c r="H33" s="25">
        <f>H9*'📋 Параметры'!B26</f>
        <v/>
      </c>
      <c r="I33" s="25">
        <f>I9*'📋 Параметры'!B26</f>
        <v/>
      </c>
      <c r="J33" s="25">
        <f>J9*'📋 Параметры'!B26</f>
        <v/>
      </c>
      <c r="K33" s="25">
        <f>K9*'📋 Параметры'!B26</f>
        <v/>
      </c>
      <c r="L33" s="25">
        <f>L9*'📋 Параметры'!B26</f>
        <v/>
      </c>
      <c r="M33" s="25">
        <f>M9*'📋 Параметры'!B26</f>
        <v/>
      </c>
      <c r="N33" s="25">
        <f>SUM(B33,C33,D33,E33,F33,G33,H33,I33,J33,K33,L33,M33)</f>
        <v/>
      </c>
    </row>
    <row r="34">
      <c r="A34" s="47" t="inlineStr">
        <is>
          <t xml:space="preserve">  УСН</t>
        </is>
      </c>
      <c r="B34" s="25">
        <f>B9*'📋 Параметры'!B27</f>
        <v/>
      </c>
      <c r="C34" s="25">
        <f>C9*'📋 Параметры'!B27</f>
        <v/>
      </c>
      <c r="D34" s="25">
        <f>D9*'📋 Параметры'!B27</f>
        <v/>
      </c>
      <c r="E34" s="25">
        <f>E9*'📋 Параметры'!B27</f>
        <v/>
      </c>
      <c r="F34" s="25">
        <f>F9*'📋 Параметры'!B27</f>
        <v/>
      </c>
      <c r="G34" s="25">
        <f>G9*'📋 Параметры'!B27</f>
        <v/>
      </c>
      <c r="H34" s="25">
        <f>H9*'📋 Параметры'!B27</f>
        <v/>
      </c>
      <c r="I34" s="25">
        <f>I9*'📋 Параметры'!B27</f>
        <v/>
      </c>
      <c r="J34" s="25">
        <f>J9*'📋 Параметры'!B27</f>
        <v/>
      </c>
      <c r="K34" s="25">
        <f>K9*'📋 Параметры'!B27</f>
        <v/>
      </c>
      <c r="L34" s="25">
        <f>L9*'📋 Параметры'!B27</f>
        <v/>
      </c>
      <c r="M34" s="25">
        <f>M9*'📋 Параметры'!B27</f>
        <v/>
      </c>
      <c r="N34" s="25">
        <f>SUM(B34,C34,D34,E34,F34,G34,H34,I34,J34,K34,L34,M34)</f>
        <v/>
      </c>
    </row>
    <row r="35">
      <c r="A35" s="9" t="inlineStr">
        <is>
          <t xml:space="preserve">  Амортизация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25">
        <f>SUM(B35,C35,D35,E35,F35,G35,H35,I35,J35,K35,L35,M35)</f>
        <v/>
      </c>
    </row>
    <row r="36">
      <c r="A36" s="6" t="inlineStr">
        <is>
          <t>ИТОГО НАЛОГИ</t>
        </is>
      </c>
      <c r="B36" s="53">
        <f>SUM(B33,B34,B35)</f>
        <v/>
      </c>
      <c r="C36" s="53">
        <f>SUM(C33,C34,C35)</f>
        <v/>
      </c>
      <c r="D36" s="53">
        <f>SUM(D33,D34,D35)</f>
        <v/>
      </c>
      <c r="E36" s="53">
        <f>SUM(E33,E34,E35)</f>
        <v/>
      </c>
      <c r="F36" s="53">
        <f>SUM(F33,F34,F35)</f>
        <v/>
      </c>
      <c r="G36" s="53">
        <f>SUM(G33,G34,G35)</f>
        <v/>
      </c>
      <c r="H36" s="53">
        <f>SUM(H33,H34,H35)</f>
        <v/>
      </c>
      <c r="I36" s="53">
        <f>SUM(I33,I34,I35)</f>
        <v/>
      </c>
      <c r="J36" s="53">
        <f>SUM(J33,J34,J35)</f>
        <v/>
      </c>
      <c r="K36" s="53">
        <f>SUM(K33,K34,K35)</f>
        <v/>
      </c>
      <c r="L36" s="53">
        <f>SUM(L33,L34,L35)</f>
        <v/>
      </c>
      <c r="M36" s="53">
        <f>SUM(M33,M34,M35)</f>
        <v/>
      </c>
      <c r="N36" s="53">
        <f>SUM(N33,N34,N35)</f>
        <v/>
      </c>
    </row>
    <row r="37">
      <c r="A37" s="43" t="inlineStr">
        <is>
          <t>✅ ЧИСТАЯ ПРИБЫЛЬ</t>
        </is>
      </c>
      <c r="B37" s="27">
        <f>B29-B36</f>
        <v/>
      </c>
      <c r="C37" s="27">
        <f>C29-C36</f>
        <v/>
      </c>
      <c r="D37" s="27">
        <f>D29-D36</f>
        <v/>
      </c>
      <c r="E37" s="27">
        <f>E29-E36</f>
        <v/>
      </c>
      <c r="F37" s="27">
        <f>F29-F36</f>
        <v/>
      </c>
      <c r="G37" s="27">
        <f>G29-G36</f>
        <v/>
      </c>
      <c r="H37" s="27">
        <f>H29-H36</f>
        <v/>
      </c>
      <c r="I37" s="27">
        <f>I29-I36</f>
        <v/>
      </c>
      <c r="J37" s="27">
        <f>J29-J36</f>
        <v/>
      </c>
      <c r="K37" s="27">
        <f>K29-K36</f>
        <v/>
      </c>
      <c r="L37" s="27">
        <f>L29-L36</f>
        <v/>
      </c>
      <c r="M37" s="27">
        <f>M29-M36</f>
        <v/>
      </c>
      <c r="N37" s="27">
        <f>N29-N36</f>
        <v/>
      </c>
    </row>
    <row r="38">
      <c r="A38" s="76" t="inlineStr">
        <is>
          <t xml:space="preserve">  Рентабельность чистой прибыли</t>
        </is>
      </c>
      <c r="B38" s="77">
        <f>IFERROR(B37/B9,0)</f>
        <v/>
      </c>
      <c r="C38" s="77">
        <f>IFERROR(C37/C9,0)</f>
        <v/>
      </c>
      <c r="D38" s="77">
        <f>IFERROR(D37/D9,0)</f>
        <v/>
      </c>
      <c r="E38" s="77">
        <f>IFERROR(E37/E9,0)</f>
        <v/>
      </c>
      <c r="F38" s="77">
        <f>IFERROR(F37/F9,0)</f>
        <v/>
      </c>
      <c r="G38" s="77">
        <f>IFERROR(G37/G9,0)</f>
        <v/>
      </c>
      <c r="H38" s="77">
        <f>IFERROR(H37/H9,0)</f>
        <v/>
      </c>
      <c r="I38" s="77">
        <f>IFERROR(I37/I9,0)</f>
        <v/>
      </c>
      <c r="J38" s="77">
        <f>IFERROR(J37/J9,0)</f>
        <v/>
      </c>
      <c r="K38" s="77">
        <f>IFERROR(K37/K9,0)</f>
        <v/>
      </c>
      <c r="L38" s="77">
        <f>IFERROR(L37/L9,0)</f>
        <v/>
      </c>
      <c r="M38" s="77">
        <f>IFERROR(M37/M9,0)</f>
        <v/>
      </c>
      <c r="N38" s="77">
        <f>IFERROR(N37/N9,0)</f>
        <v/>
      </c>
    </row>
  </sheetData>
  <mergeCells count="5">
    <mergeCell ref="A4:N4"/>
    <mergeCell ref="A24:N24"/>
    <mergeCell ref="A11:N11"/>
    <mergeCell ref="A32:N3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 ht="35" customHeight="1">
      <c r="A1" s="78" t="inlineStr">
        <is>
          <t>🎯  ИТОГОВЫЙ ДАШБОРД — НОВЫЙ ОБЪЕКТ</t>
        </is>
      </c>
    </row>
    <row r="3">
      <c r="A3" s="19" t="inlineStr">
        <is>
          <t>Объект:</t>
        </is>
      </c>
      <c r="B3" s="47">
        <f>'📋 Параметры'!B7</f>
        <v/>
      </c>
      <c r="C3" s="19" t="inlineStr">
        <is>
          <t>Город:</t>
        </is>
      </c>
      <c r="D3" s="47">
        <f>'📋 Параметры'!B8</f>
        <v/>
      </c>
    </row>
    <row r="5">
      <c r="A5" s="6" t="inlineStr">
        <is>
          <t>📋  ЦЕНА КОНТРАКТА (из Сметы)</t>
        </is>
      </c>
      <c r="B5" s="7" t="n"/>
      <c r="C5" s="7" t="n"/>
      <c r="D5" s="7" t="n"/>
    </row>
    <row r="6">
      <c r="A6" s="47" t="inlineStr">
        <is>
          <t xml:space="preserve">  Себестоимость/мес (среднегод.)</t>
        </is>
      </c>
      <c r="B6" s="25">
        <f>'📊 Смета + КП'!D32</f>
        <v/>
      </c>
      <c r="C6" s="47" t="n"/>
      <c r="D6" s="47" t="n"/>
    </row>
    <row r="7">
      <c r="A7" s="47" t="inlineStr">
        <is>
          <t xml:space="preserve">  Цена без НДС/мес</t>
        </is>
      </c>
      <c r="B7" s="25">
        <f>'📊 Смета + КП'!D39</f>
        <v/>
      </c>
      <c r="C7" s="47" t="n"/>
      <c r="D7" s="47" t="n"/>
    </row>
    <row r="8">
      <c r="A8" s="47" t="inlineStr">
        <is>
          <t xml:space="preserve">  НДС 5%/мес</t>
        </is>
      </c>
      <c r="B8" s="25">
        <f>'📊 Смета + КП'!D40</f>
        <v/>
      </c>
      <c r="C8" s="47" t="n"/>
      <c r="D8" s="47" t="n"/>
    </row>
    <row r="9">
      <c r="A9" s="43" t="inlineStr">
        <is>
          <t xml:space="preserve">  ★ Цена контракта с НДС/мес</t>
        </is>
      </c>
      <c r="B9" s="27">
        <f>'📊 Смета + КП'!D41</f>
        <v/>
      </c>
      <c r="C9" s="44" t="n"/>
      <c r="D9" s="44" t="n"/>
    </row>
    <row r="10">
      <c r="A10" s="43" t="inlineStr">
        <is>
          <t xml:space="preserve">  ★ Цена контракта с НДС/год</t>
        </is>
      </c>
      <c r="B10" s="27">
        <f>'📊 Смета + КП'!D41*12</f>
        <v/>
      </c>
      <c r="C10" s="44" t="n"/>
      <c r="D10" s="44" t="n"/>
    </row>
    <row r="12">
      <c r="A12" s="6" t="inlineStr">
        <is>
          <t>💰  П&amp;Л (из листа П&amp;Л, ИТОГО за год)</t>
        </is>
      </c>
      <c r="B12" s="7" t="n"/>
      <c r="C12" s="7" t="n"/>
      <c r="D12" s="7" t="n"/>
    </row>
    <row r="13" ht="22" customHeight="1">
      <c r="A13" s="8" t="inlineStr"/>
      <c r="B13" s="79" t="inlineStr">
        <is>
          <t>Лето/мес</t>
        </is>
      </c>
      <c r="C13" s="80" t="inlineStr">
        <is>
          <t>Зима/мес</t>
        </is>
      </c>
      <c r="D13" s="81" t="inlineStr">
        <is>
          <t>Год (Итого)</t>
        </is>
      </c>
    </row>
    <row r="14">
      <c r="A14" s="43" t="inlineStr">
        <is>
          <t xml:space="preserve">  Выручка</t>
        </is>
      </c>
      <c r="B14" s="44" t="inlineStr"/>
      <c r="C14" s="44" t="inlineStr"/>
      <c r="D14" s="27">
        <f>'💰 П&amp;Л'!O8</f>
        <v/>
      </c>
    </row>
    <row r="15">
      <c r="A15" s="82" t="inlineStr">
        <is>
          <t xml:space="preserve">  Прямые расходы</t>
        </is>
      </c>
      <c r="B15" s="82" t="inlineStr"/>
      <c r="C15" s="82" t="inlineStr"/>
      <c r="D15" s="83">
        <f>'💰 П&amp;Л'!O11</f>
        <v/>
      </c>
    </row>
    <row r="16">
      <c r="A16" s="43" t="inlineStr">
        <is>
          <t xml:space="preserve">  Валовая прибыль</t>
        </is>
      </c>
      <c r="B16" s="44" t="inlineStr"/>
      <c r="C16" s="44" t="inlineStr"/>
      <c r="D16" s="27">
        <f>'💰 П&amp;Л'!O12</f>
        <v/>
      </c>
    </row>
    <row r="17">
      <c r="A17" s="8" t="inlineStr">
        <is>
          <t xml:space="preserve">  Косвенные расходы</t>
        </is>
      </c>
      <c r="B17" s="8" t="inlineStr"/>
      <c r="C17" s="8" t="inlineStr"/>
      <c r="D17" s="84">
        <f>'💰 П&amp;Л'!O16</f>
        <v/>
      </c>
    </row>
    <row r="18">
      <c r="A18" s="43" t="inlineStr">
        <is>
          <t xml:space="preserve">  Операционная прибыль</t>
        </is>
      </c>
      <c r="B18" s="44" t="inlineStr"/>
      <c r="C18" s="44" t="inlineStr"/>
      <c r="D18" s="27">
        <f>'💰 П&amp;Л'!O17</f>
        <v/>
      </c>
    </row>
    <row r="19">
      <c r="A19" s="8" t="inlineStr">
        <is>
          <t xml:space="preserve">  Налоги</t>
        </is>
      </c>
      <c r="B19" s="8" t="inlineStr"/>
      <c r="C19" s="8" t="inlineStr"/>
      <c r="D19" s="84">
        <f>'💰 П&amp;Л'!O19</f>
        <v/>
      </c>
    </row>
    <row r="20">
      <c r="A20" s="43" t="inlineStr">
        <is>
          <t xml:space="preserve">  ✅ Чистая прибыль</t>
        </is>
      </c>
      <c r="B20" s="44" t="inlineStr"/>
      <c r="C20" s="44" t="inlineStr"/>
      <c r="D20" s="27">
        <f>'💰 П&amp;Л'!O21</f>
        <v/>
      </c>
    </row>
    <row r="22">
      <c r="A22" s="6" t="inlineStr">
        <is>
          <t>📈  РЕНТАБЕЛЬНОСТЬ</t>
        </is>
      </c>
      <c r="B22" s="7" t="n"/>
      <c r="C22" s="7" t="n"/>
      <c r="D22" s="7" t="n"/>
    </row>
    <row r="23">
      <c r="A23" s="47" t="inlineStr">
        <is>
          <t xml:space="preserve">  Валовая рентабельность</t>
        </is>
      </c>
      <c r="B23" s="85">
        <f>IFERROR('💰 П&amp;Л'!O10/'💰 П&amp;Л'!O5,0)</f>
        <v/>
      </c>
      <c r="C23" s="47" t="n"/>
      <c r="D23" s="47" t="n"/>
    </row>
    <row r="24">
      <c r="A24" s="47" t="inlineStr">
        <is>
          <t xml:space="preserve">  Операционная рентабельность</t>
        </is>
      </c>
      <c r="B24" s="85">
        <f>IFERROR('💰 П&amp;Л'!O15/'💰 П&amp;Л'!O5,0)</f>
        <v/>
      </c>
      <c r="C24" s="47" t="n"/>
      <c r="D24" s="47" t="n"/>
    </row>
    <row r="25">
      <c r="A25" s="43" t="inlineStr">
        <is>
          <t xml:space="preserve">  ★ Чистая рентабельность</t>
        </is>
      </c>
      <c r="B25" s="66">
        <f>IFERROR('💰 П&amp;Л'!O19/'💰 П&amp;Л'!O5,0)</f>
        <v/>
      </c>
      <c r="C25" s="44" t="n"/>
      <c r="D25" s="44" t="n"/>
    </row>
    <row r="26">
      <c r="A26" s="47" t="inlineStr">
        <is>
          <t xml:space="preserve">  ФОТ / Выручка</t>
        </is>
      </c>
      <c r="B26" s="85">
        <f>'📊 Смета + КП'!D46</f>
        <v/>
      </c>
      <c r="C26" s="47" t="n"/>
      <c r="D26" s="47" t="n"/>
    </row>
    <row r="28">
      <c r="A28" s="6" t="inlineStr">
        <is>
          <t>🚦  ПРОВЕРКА ЦЕЛЕЙ</t>
        </is>
      </c>
      <c r="B28" s="7" t="n"/>
      <c r="C28" s="7" t="n"/>
      <c r="D28" s="7" t="n"/>
    </row>
    <row r="29">
      <c r="A29" s="8" t="inlineStr">
        <is>
          <t xml:space="preserve">  Цель рент. ЧП ≥ 20%</t>
        </is>
      </c>
      <c r="B29" s="86" t="inlineStr">
        <is>
          <t>Цель:</t>
        </is>
      </c>
      <c r="C29" s="87">
        <f>'📋 Параметры'!B28</f>
        <v/>
      </c>
      <c r="D29" s="66">
        <f>IFERROR('💰 П&amp;Л'!O19/'💰 П&amp;Л'!O5,0)</f>
        <v/>
      </c>
    </row>
    <row r="30">
      <c r="A30" s="8" t="inlineStr">
        <is>
          <t xml:space="preserve">  ФОТ / Выручка ≤ 65%</t>
        </is>
      </c>
      <c r="B30" s="86" t="inlineStr">
        <is>
          <t>Цель:</t>
        </is>
      </c>
      <c r="C30" s="87" t="inlineStr">
        <is>
          <t>65%</t>
        </is>
      </c>
      <c r="D30" s="66">
        <f>'📊 Смета + КП'!D46</f>
        <v/>
      </c>
    </row>
    <row r="33">
      <c r="A33" s="88" t="inlineStr">
        <is>
          <t>⚠️ Примечание: значения из П&amp;Л рассчитываются автоматически только после заполнения всех жёлтых ячеек на листах «📋 Параметры», «👥 Расчёт ФОТ» и «💰 П&amp;Л».</t>
        </is>
      </c>
    </row>
    <row r="34"/>
    <row r="35"/>
  </sheetData>
  <mergeCells count="6">
    <mergeCell ref="A1:D1"/>
    <mergeCell ref="A5:D5"/>
    <mergeCell ref="A22:D22"/>
    <mergeCell ref="A12:D12"/>
    <mergeCell ref="A33:D35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2026-07-01T05:41:54Z</dcterms:created>
  <dcterms:modified xsi:type="dcterms:W3CDTF">2026-07-01T05:41:54Z</dcterms:modified>
</cp:coreProperties>
</file>