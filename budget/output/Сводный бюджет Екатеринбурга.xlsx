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ый бюджет Екатеринбурга" sheetId="1" state="visible" r:id="rId1"/>
    <sheet name="Твоя Привелегия" sheetId="2" state="visible" r:id="rId2"/>
    <sheet name="Исеть Парк" sheetId="3" state="visible" r:id="rId3"/>
    <sheet name="Космонавтов 11" sheetId="4" state="visible" r:id="rId4"/>
    <sheet name="Утес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40A7BA"/>
      <sz val="15"/>
    </font>
    <font>
      <name val="Arial"/>
      <b val="1"/>
      <color rgb="FF595959"/>
      <sz val="12"/>
    </font>
    <font>
      <b val="1"/>
      <color rgb="FFFFFFFF"/>
      <sz val="13"/>
    </font>
    <font/>
    <font>
      <color rgb="00000000"/>
      <sz val="12"/>
    </font>
    <font>
      <b val="1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98C9A"/>
      </patternFill>
    </fill>
    <fill>
      <patternFill patternType="solid">
        <fgColor rgb="00ebf5fa"/>
      </patternFill>
    </fill>
  </fills>
  <borders count="3">
    <border>
      <left/>
      <right/>
      <top/>
      <bottom/>
      <diagonal/>
    </border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10" fontId="6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Сводный бюджет Екатеринбурга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SUM('Твоя Привелегия'!B5,'Исеть Парк'!B5,'Космонавтов 11'!B5,'Утес'!B5)</f>
        <v/>
      </c>
      <c r="C5" s="7">
        <f>SUM('Твоя Привелегия'!C5,'Исеть Парк'!C5,'Космонавтов 11'!C5,'Утес'!C5)</f>
        <v/>
      </c>
      <c r="D5" s="7">
        <f>SUM('Твоя Привелегия'!D5,'Исеть Парк'!D5,'Космонавтов 11'!D5,'Утес'!D5)</f>
        <v/>
      </c>
      <c r="E5" s="7">
        <f>SUM('Твоя Привелегия'!E5,'Исеть Парк'!E5,'Космонавтов 11'!E5,'Утес'!E5)</f>
        <v/>
      </c>
      <c r="F5" s="7">
        <f>SUM('Твоя Привелегия'!F5,'Исеть Парк'!F5,'Космонавтов 11'!F5,'Утес'!F5)</f>
        <v/>
      </c>
      <c r="G5" s="7">
        <f>SUM('Твоя Привелегия'!G5,'Исеть Парк'!G5,'Космонавтов 11'!G5,'Утес'!G5)</f>
        <v/>
      </c>
      <c r="H5" s="7">
        <f>SUM('Твоя Привелегия'!H5,'Исеть Парк'!H5,'Космонавтов 11'!H5,'Утес'!H5)</f>
        <v/>
      </c>
      <c r="I5" s="7">
        <f>SUM('Твоя Привелегия'!I5,'Исеть Парк'!I5,'Космонавтов 11'!I5,'Утес'!I5)</f>
        <v/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SUM('Твоя Привелегия'!B7,'Исеть Парк'!B7,'Космонавтов 11'!B7,'Утес'!B7)</f>
        <v/>
      </c>
      <c r="C7" s="7">
        <f>SUM('Твоя Привелегия'!C7,'Исеть Парк'!C7,'Космонавтов 11'!C7,'Утес'!C7)</f>
        <v/>
      </c>
      <c r="D7" s="7">
        <f>SUM('Твоя Привелегия'!D7,'Исеть Парк'!D7,'Космонавтов 11'!D7,'Утес'!D7)</f>
        <v/>
      </c>
      <c r="E7" s="7">
        <f>SUM('Твоя Привелегия'!E7,'Исеть Парк'!E7,'Космонавтов 11'!E7,'Утес'!E7)</f>
        <v/>
      </c>
      <c r="F7" s="7">
        <f>SUM('Твоя Привелегия'!F7,'Исеть Парк'!F7,'Космонавтов 11'!F7,'Утес'!F7)</f>
        <v/>
      </c>
      <c r="G7" s="7">
        <f>SUM('Твоя Привелегия'!G7,'Исеть Парк'!G7,'Космонавтов 11'!G7,'Утес'!G7)</f>
        <v/>
      </c>
      <c r="H7" s="7">
        <f>SUM('Твоя Привелегия'!H7,'Исеть Парк'!H7,'Космонавтов 11'!H7,'Утес'!H7)</f>
        <v/>
      </c>
      <c r="I7" s="7">
        <f>SUM('Твоя Привелегия'!I7,'Исеть Парк'!I7,'Космонавтов 11'!I7,'Утес'!I7)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SUM('Твоя Привелегия'!B8,'Исеть Парк'!B8,'Космонавтов 11'!B8,'Утес'!B8)</f>
        <v/>
      </c>
      <c r="C8" s="7">
        <f>SUM('Твоя Привелегия'!C8,'Исеть Парк'!C8,'Космонавтов 11'!C8,'Утес'!C8)</f>
        <v/>
      </c>
      <c r="D8" s="7">
        <f>SUM('Твоя Привелегия'!D8,'Исеть Парк'!D8,'Космонавтов 11'!D8,'Утес'!D8)</f>
        <v/>
      </c>
      <c r="E8" s="7">
        <f>SUM('Твоя Привелегия'!E8,'Исеть Парк'!E8,'Космонавтов 11'!E8,'Утес'!E8)</f>
        <v/>
      </c>
      <c r="F8" s="7">
        <f>SUM('Твоя Привелегия'!F8,'Исеть Парк'!F8,'Космонавтов 11'!F8,'Утес'!F8)</f>
        <v/>
      </c>
      <c r="G8" s="7">
        <f>SUM('Твоя Привелегия'!G8,'Исеть Парк'!G8,'Космонавтов 11'!G8,'Утес'!G8)</f>
        <v/>
      </c>
      <c r="H8" s="7">
        <f>SUM('Твоя Привелегия'!H8,'Исеть Парк'!H8,'Космонавтов 11'!H8,'Утес'!H8)</f>
        <v/>
      </c>
      <c r="I8" s="7">
        <f>SUM('Твоя Привелегия'!I8,'Исеть Парк'!I8,'Космонавтов 11'!I8,'Утес'!I8)</f>
        <v/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SUM('Твоя Привелегия'!B9,'Исеть Парк'!B9,'Космонавтов 11'!B9,'Утес'!B9)</f>
        <v/>
      </c>
      <c r="C9" s="7">
        <f>SUM('Твоя Привелегия'!C9,'Исеть Парк'!C9,'Космонавтов 11'!C9,'Утес'!C9)</f>
        <v/>
      </c>
      <c r="D9" s="7">
        <f>SUM('Твоя Привелегия'!D9,'Исеть Парк'!D9,'Космонавтов 11'!D9,'Утес'!D9)</f>
        <v/>
      </c>
      <c r="E9" s="7">
        <f>SUM('Твоя Привелегия'!E9,'Исеть Парк'!E9,'Космонавтов 11'!E9,'Утес'!E9)</f>
        <v/>
      </c>
      <c r="F9" s="7">
        <f>SUM('Твоя Привелегия'!F9,'Исеть Парк'!F9,'Космонавтов 11'!F9,'Утес'!F9)</f>
        <v/>
      </c>
      <c r="G9" s="7">
        <f>SUM('Твоя Привелегия'!G9,'Исеть Парк'!G9,'Космонавтов 11'!G9,'Утес'!G9)</f>
        <v/>
      </c>
      <c r="H9" s="7">
        <f>SUM('Твоя Привелегия'!H9,'Исеть Парк'!H9,'Космонавтов 11'!H9,'Утес'!H9)</f>
        <v/>
      </c>
      <c r="I9" s="7">
        <f>SUM('Твоя Привелегия'!I9,'Исеть Парк'!I9,'Космонавтов 11'!I9,'Утес'!I9)</f>
        <v/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SUM('Твоя Привелегия'!B11,'Исеть Парк'!B11,'Космонавтов 11'!B11,'Утес'!B11)</f>
        <v/>
      </c>
      <c r="C11" s="7">
        <f>SUM('Твоя Привелегия'!C11,'Исеть Парк'!C11,'Космонавтов 11'!C11,'Утес'!C11)</f>
        <v/>
      </c>
      <c r="D11" s="7">
        <f>SUM('Твоя Привелегия'!D11,'Исеть Парк'!D11,'Космонавтов 11'!D11,'Утес'!D11)</f>
        <v/>
      </c>
      <c r="E11" s="7">
        <f>SUM('Твоя Привелегия'!E11,'Исеть Парк'!E11,'Космонавтов 11'!E11,'Утес'!E11)</f>
        <v/>
      </c>
      <c r="F11" s="7">
        <f>SUM('Твоя Привелегия'!F11,'Исеть Парк'!F11,'Космонавтов 11'!F11,'Утес'!F11)</f>
        <v/>
      </c>
      <c r="G11" s="7">
        <f>SUM('Твоя Привелегия'!G11,'Исеть Парк'!G11,'Космонавтов 11'!G11,'Утес'!G11)</f>
        <v/>
      </c>
      <c r="H11" s="7">
        <f>SUM('Твоя Привелегия'!H11,'Исеть Парк'!H11,'Космонавтов 11'!H11,'Утес'!H11)</f>
        <v/>
      </c>
      <c r="I11" s="7">
        <f>SUM('Твоя Привелегия'!I11,'Исеть Парк'!I11,'Космонавтов 11'!I11,'Утес'!I11)</f>
        <v/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SUM('Твоя Привелегия'!B12,'Исеть Парк'!B12,'Космонавтов 11'!B12,'Утес'!B12)</f>
        <v/>
      </c>
      <c r="C12" s="7">
        <f>SUM('Твоя Привелегия'!C12,'Исеть Парк'!C12,'Космонавтов 11'!C12,'Утес'!C12)</f>
        <v/>
      </c>
      <c r="D12" s="7">
        <f>SUM('Твоя Привелегия'!D12,'Исеть Парк'!D12,'Космонавтов 11'!D12,'Утес'!D12)</f>
        <v/>
      </c>
      <c r="E12" s="7">
        <f>SUM('Твоя Привелегия'!E12,'Исеть Парк'!E12,'Космонавтов 11'!E12,'Утес'!E12)</f>
        <v/>
      </c>
      <c r="F12" s="7">
        <f>SUM('Твоя Привелегия'!F12,'Исеть Парк'!F12,'Космонавтов 11'!F12,'Утес'!F12)</f>
        <v/>
      </c>
      <c r="G12" s="7">
        <f>SUM('Твоя Привелегия'!G12,'Исеть Парк'!G12,'Космонавтов 11'!G12,'Утес'!G12)</f>
        <v/>
      </c>
      <c r="H12" s="7">
        <f>SUM('Твоя Привелегия'!H12,'Исеть Парк'!H12,'Космонавтов 11'!H12,'Утес'!H12)</f>
        <v/>
      </c>
      <c r="I12" s="7">
        <f>SUM('Твоя Привелегия'!I12,'Исеть Парк'!I12,'Космонавтов 11'!I12,'Утес'!I12)</f>
        <v/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SUM('Твоя Привелегия'!B14,'Исеть Парк'!B14,'Космонавтов 11'!B14,'Утес'!B14)</f>
        <v/>
      </c>
      <c r="C14" s="7">
        <f>SUM('Твоя Привелегия'!C14,'Исеть Парк'!C14,'Космонавтов 11'!C14,'Утес'!C14)</f>
        <v/>
      </c>
      <c r="D14" s="7">
        <f>SUM('Твоя Привелегия'!D14,'Исеть Парк'!D14,'Космонавтов 11'!D14,'Утес'!D14)</f>
        <v/>
      </c>
      <c r="E14" s="7">
        <f>SUM('Твоя Привелегия'!E14,'Исеть Парк'!E14,'Космонавтов 11'!E14,'Утес'!E14)</f>
        <v/>
      </c>
      <c r="F14" s="7">
        <f>SUM('Твоя Привелегия'!F14,'Исеть Парк'!F14,'Космонавтов 11'!F14,'Утес'!F14)</f>
        <v/>
      </c>
      <c r="G14" s="7">
        <f>SUM('Твоя Привелегия'!G14,'Исеть Парк'!G14,'Космонавтов 11'!G14,'Утес'!G14)</f>
        <v/>
      </c>
      <c r="H14" s="7">
        <f>SUM('Твоя Привелегия'!H14,'Исеть Парк'!H14,'Космонавтов 11'!H14,'Утес'!H14)</f>
        <v/>
      </c>
      <c r="I14" s="7">
        <f>SUM('Твоя Привелегия'!I14,'Исеть Парк'!I14,'Космонавтов 11'!I14,'Утес'!I14)</f>
        <v/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SUM('Твоя Привелегия'!B15,'Исеть Парк'!B15,'Космонавтов 11'!B15,'Утес'!B15)</f>
        <v/>
      </c>
      <c r="C15" s="7">
        <f>SUM('Твоя Привелегия'!C15,'Исеть Парк'!C15,'Космонавтов 11'!C15,'Утес'!C15)</f>
        <v/>
      </c>
      <c r="D15" s="7">
        <f>SUM('Твоя Привелегия'!D15,'Исеть Парк'!D15,'Космонавтов 11'!D15,'Утес'!D15)</f>
        <v/>
      </c>
      <c r="E15" s="7">
        <f>SUM('Твоя Привелегия'!E15,'Исеть Парк'!E15,'Космонавтов 11'!E15,'Утес'!E15)</f>
        <v/>
      </c>
      <c r="F15" s="7">
        <f>SUM('Твоя Привелегия'!F15,'Исеть Парк'!F15,'Космонавтов 11'!F15,'Утес'!F15)</f>
        <v/>
      </c>
      <c r="G15" s="7">
        <f>SUM('Твоя Привелегия'!G15,'Исеть Парк'!G15,'Космонавтов 11'!G15,'Утес'!G15)</f>
        <v/>
      </c>
      <c r="H15" s="7">
        <f>SUM('Твоя Привелегия'!H15,'Исеть Парк'!H15,'Космонавтов 11'!H15,'Утес'!H15)</f>
        <v/>
      </c>
      <c r="I15" s="7">
        <f>SUM('Твоя Привелегия'!I15,'Исеть Парк'!I15,'Космонавтов 11'!I15,'Утес'!I15)</f>
        <v/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SUM('Твоя Привелегия'!B16,'Исеть Парк'!B16,'Космонавтов 11'!B16,'Утес'!B16)</f>
        <v/>
      </c>
      <c r="C16" s="7">
        <f>SUM('Твоя Привелегия'!C16,'Исеть Парк'!C16,'Космонавтов 11'!C16,'Утес'!C16)</f>
        <v/>
      </c>
      <c r="D16" s="7">
        <f>SUM('Твоя Привелегия'!D16,'Исеть Парк'!D16,'Космонавтов 11'!D16,'Утес'!D16)</f>
        <v/>
      </c>
      <c r="E16" s="7">
        <f>SUM('Твоя Привелегия'!E16,'Исеть Парк'!E16,'Космонавтов 11'!E16,'Утес'!E16)</f>
        <v/>
      </c>
      <c r="F16" s="7">
        <f>SUM('Твоя Привелегия'!F16,'Исеть Парк'!F16,'Космонавтов 11'!F16,'Утес'!F16)</f>
        <v/>
      </c>
      <c r="G16" s="7">
        <f>SUM('Твоя Привелегия'!G16,'Исеть Парк'!G16,'Космонавтов 11'!G16,'Утес'!G16)</f>
        <v/>
      </c>
      <c r="H16" s="7">
        <f>SUM('Твоя Привелегия'!H16,'Исеть Парк'!H16,'Космонавтов 11'!H16,'Утес'!H16)</f>
        <v/>
      </c>
      <c r="I16" s="7">
        <f>SUM('Твоя Привелегия'!I16,'Исеть Парк'!I16,'Космонавтов 11'!I16,'Утес'!I16)</f>
        <v/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SUM('Твоя Привелегия'!B17,'Исеть Парк'!B17,'Космонавтов 11'!B17,'Утес'!B17)</f>
        <v/>
      </c>
      <c r="C17" s="7">
        <f>SUM('Твоя Привелегия'!C17,'Исеть Парк'!C17,'Космонавтов 11'!C17,'Утес'!C17)</f>
        <v/>
      </c>
      <c r="D17" s="7">
        <f>SUM('Твоя Привелегия'!D17,'Исеть Парк'!D17,'Космонавтов 11'!D17,'Утес'!D17)</f>
        <v/>
      </c>
      <c r="E17" s="7">
        <f>SUM('Твоя Привелегия'!E17,'Исеть Парк'!E17,'Космонавтов 11'!E17,'Утес'!E17)</f>
        <v/>
      </c>
      <c r="F17" s="7">
        <f>SUM('Твоя Привелегия'!F17,'Исеть Парк'!F17,'Космонавтов 11'!F17,'Утес'!F17)</f>
        <v/>
      </c>
      <c r="G17" s="7">
        <f>SUM('Твоя Привелегия'!G17,'Исеть Парк'!G17,'Космонавтов 11'!G17,'Утес'!G17)</f>
        <v/>
      </c>
      <c r="H17" s="7">
        <f>SUM('Твоя Привелегия'!H17,'Исеть Парк'!H17,'Космонавтов 11'!H17,'Утес'!H17)</f>
        <v/>
      </c>
      <c r="I17" s="7">
        <f>SUM('Твоя Привелегия'!I17,'Исеть Парк'!I17,'Космонавтов 11'!I17,'Утес'!I17)</f>
        <v/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SUM('Твоя Привелегия'!B18,'Исеть Парк'!B18,'Космонавтов 11'!B18,'Утес'!B18)</f>
        <v/>
      </c>
      <c r="C18" s="7">
        <f>SUM('Твоя Привелегия'!C18,'Исеть Парк'!C18,'Космонавтов 11'!C18,'Утес'!C18)</f>
        <v/>
      </c>
      <c r="D18" s="7">
        <f>SUM('Твоя Привелегия'!D18,'Исеть Парк'!D18,'Космонавтов 11'!D18,'Утес'!D18)</f>
        <v/>
      </c>
      <c r="E18" s="7">
        <f>SUM('Твоя Привелегия'!E18,'Исеть Парк'!E18,'Космонавтов 11'!E18,'Утес'!E18)</f>
        <v/>
      </c>
      <c r="F18" s="7">
        <f>SUM('Твоя Привелегия'!F18,'Исеть Парк'!F18,'Космонавтов 11'!F18,'Утес'!F18)</f>
        <v/>
      </c>
      <c r="G18" s="7">
        <f>SUM('Твоя Привелегия'!G18,'Исеть Парк'!G18,'Космонавтов 11'!G18,'Утес'!G18)</f>
        <v/>
      </c>
      <c r="H18" s="7">
        <f>SUM('Твоя Привелегия'!H18,'Исеть Парк'!H18,'Космонавтов 11'!H18,'Утес'!H18)</f>
        <v/>
      </c>
      <c r="I18" s="7">
        <f>SUM('Твоя Привелегия'!I18,'Исеть Парк'!I18,'Космонавтов 11'!I18,'Утес'!I18)</f>
        <v/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SUM('Твоя Привелегия'!B19,'Исеть Парк'!B19,'Космонавтов 11'!B19,'Утес'!B19)</f>
        <v/>
      </c>
      <c r="C19" s="7">
        <f>SUM('Твоя Привелегия'!C19,'Исеть Парк'!C19,'Космонавтов 11'!C19,'Утес'!C19)</f>
        <v/>
      </c>
      <c r="D19" s="7">
        <f>SUM('Твоя Привелегия'!D19,'Исеть Парк'!D19,'Космонавтов 11'!D19,'Утес'!D19)</f>
        <v/>
      </c>
      <c r="E19" s="7">
        <f>SUM('Твоя Привелегия'!E19,'Исеть Парк'!E19,'Космонавтов 11'!E19,'Утес'!E19)</f>
        <v/>
      </c>
      <c r="F19" s="7">
        <f>SUM('Твоя Привелегия'!F19,'Исеть Парк'!F19,'Космонавтов 11'!F19,'Утес'!F19)</f>
        <v/>
      </c>
      <c r="G19" s="7">
        <f>SUM('Твоя Привелегия'!G19,'Исеть Парк'!G19,'Космонавтов 11'!G19,'Утес'!G19)</f>
        <v/>
      </c>
      <c r="H19" s="7">
        <f>SUM('Твоя Привелегия'!H19,'Исеть Парк'!H19,'Космонавтов 11'!H19,'Утес'!H19)</f>
        <v/>
      </c>
      <c r="I19" s="7">
        <f>SUM('Твоя Привелегия'!I19,'Исеть Парк'!I19,'Космонавтов 11'!I19,'Утес'!I19)</f>
        <v/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SUM('Твоя Привелегия'!B20,'Исеть Парк'!B20,'Космонавтов 11'!B20,'Утес'!B20)</f>
        <v/>
      </c>
      <c r="C20" s="7">
        <f>SUM('Твоя Привелегия'!C20,'Исеть Парк'!C20,'Космонавтов 11'!C20,'Утес'!C20)</f>
        <v/>
      </c>
      <c r="D20" s="7">
        <f>SUM('Твоя Привелегия'!D20,'Исеть Парк'!D20,'Космонавтов 11'!D20,'Утес'!D20)</f>
        <v/>
      </c>
      <c r="E20" s="7">
        <f>SUM('Твоя Привелегия'!E20,'Исеть Парк'!E20,'Космонавтов 11'!E20,'Утес'!E20)</f>
        <v/>
      </c>
      <c r="F20" s="7">
        <f>SUM('Твоя Привелегия'!F20,'Исеть Парк'!F20,'Космонавтов 11'!F20,'Утес'!F20)</f>
        <v/>
      </c>
      <c r="G20" s="7">
        <f>SUM('Твоя Привелегия'!G20,'Исеть Парк'!G20,'Космонавтов 11'!G20,'Утес'!G20)</f>
        <v/>
      </c>
      <c r="H20" s="7">
        <f>SUM('Твоя Привелегия'!H20,'Исеть Парк'!H20,'Космонавтов 11'!H20,'Утес'!H20)</f>
        <v/>
      </c>
      <c r="I20" s="7">
        <f>SUM('Твоя Привелегия'!I20,'Исеть Парк'!I20,'Космонавтов 11'!I20,'Утес'!I20)</f>
        <v/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SUM('Твоя Привелегия'!B21,'Исеть Парк'!B21,'Космонавтов 11'!B21,'Утес'!B21)</f>
        <v/>
      </c>
      <c r="C21" s="7">
        <f>SUM('Твоя Привелегия'!C21,'Исеть Парк'!C21,'Космонавтов 11'!C21,'Утес'!C21)</f>
        <v/>
      </c>
      <c r="D21" s="7">
        <f>SUM('Твоя Привелегия'!D21,'Исеть Парк'!D21,'Космонавтов 11'!D21,'Утес'!D21)</f>
        <v/>
      </c>
      <c r="E21" s="7">
        <f>SUM('Твоя Привелегия'!E21,'Исеть Парк'!E21,'Космонавтов 11'!E21,'Утес'!E21)</f>
        <v/>
      </c>
      <c r="F21" s="7">
        <f>SUM('Твоя Привелегия'!F21,'Исеть Парк'!F21,'Космонавтов 11'!F21,'Утес'!F21)</f>
        <v/>
      </c>
      <c r="G21" s="7">
        <f>SUM('Твоя Привелегия'!G21,'Исеть Парк'!G21,'Космонавтов 11'!G21,'Утес'!G21)</f>
        <v/>
      </c>
      <c r="H21" s="7">
        <f>SUM('Твоя Привелегия'!H21,'Исеть Парк'!H21,'Космонавтов 11'!H21,'Утес'!H21)</f>
        <v/>
      </c>
      <c r="I21" s="7">
        <f>SUM('Твоя Привелегия'!I21,'Исеть Парк'!I21,'Космонавтов 11'!I21,'Утес'!I21)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SUM('Твоя Привелегия'!B22,'Исеть Парк'!B22,'Космонавтов 11'!B22,'Утес'!B22)</f>
        <v/>
      </c>
      <c r="C22" s="7">
        <f>SUM('Твоя Привелегия'!C22,'Исеть Парк'!C22,'Космонавтов 11'!C22,'Утес'!C22)</f>
        <v/>
      </c>
      <c r="D22" s="7">
        <f>SUM('Твоя Привелегия'!D22,'Исеть Парк'!D22,'Космонавтов 11'!D22,'Утес'!D22)</f>
        <v/>
      </c>
      <c r="E22" s="7">
        <f>SUM('Твоя Привелегия'!E22,'Исеть Парк'!E22,'Космонавтов 11'!E22,'Утес'!E22)</f>
        <v/>
      </c>
      <c r="F22" s="7">
        <f>SUM('Твоя Привелегия'!F22,'Исеть Парк'!F22,'Космонавтов 11'!F22,'Утес'!F22)</f>
        <v/>
      </c>
      <c r="G22" s="7">
        <f>SUM('Твоя Привелегия'!G22,'Исеть Парк'!G22,'Космонавтов 11'!G22,'Утес'!G22)</f>
        <v/>
      </c>
      <c r="H22" s="7">
        <f>SUM('Твоя Привелегия'!H22,'Исеть Парк'!H22,'Космонавтов 11'!H22,'Утес'!H22)</f>
        <v/>
      </c>
      <c r="I22" s="7">
        <f>SUM('Твоя Привелегия'!I22,'Исеть Парк'!I22,'Космонавтов 11'!I22,'Утес'!I22)</f>
        <v/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SUM('Твоя Привелегия'!B23,'Исеть Парк'!B23,'Космонавтов 11'!B23,'Утес'!B23)</f>
        <v/>
      </c>
      <c r="C23" s="7">
        <f>SUM('Твоя Привелегия'!C23,'Исеть Парк'!C23,'Космонавтов 11'!C23,'Утес'!C23)</f>
        <v/>
      </c>
      <c r="D23" s="7">
        <f>SUM('Твоя Привелегия'!D23,'Исеть Парк'!D23,'Космонавтов 11'!D23,'Утес'!D23)</f>
        <v/>
      </c>
      <c r="E23" s="7">
        <f>SUM('Твоя Привелегия'!E23,'Исеть Парк'!E23,'Космонавтов 11'!E23,'Утес'!E23)</f>
        <v/>
      </c>
      <c r="F23" s="7">
        <f>SUM('Твоя Привелегия'!F23,'Исеть Парк'!F23,'Космонавтов 11'!F23,'Утес'!F23)</f>
        <v/>
      </c>
      <c r="G23" s="7">
        <f>SUM('Твоя Привелегия'!G23,'Исеть Парк'!G23,'Космонавтов 11'!G23,'Утес'!G23)</f>
        <v/>
      </c>
      <c r="H23" s="7">
        <f>SUM('Твоя Привелегия'!H23,'Исеть Парк'!H23,'Космонавтов 11'!H23,'Утес'!H23)</f>
        <v/>
      </c>
      <c r="I23" s="7">
        <f>SUM('Твоя Привелегия'!I23,'Исеть Парк'!I23,'Космонавтов 11'!I23,'Утес'!I23)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SUM('Твоя Привелегия'!B24,'Исеть Парк'!B24,'Космонавтов 11'!B24,'Утес'!B24)</f>
        <v/>
      </c>
      <c r="C24" s="7">
        <f>SUM('Твоя Привелегия'!C24,'Исеть Парк'!C24,'Космонавтов 11'!C24,'Утес'!C24)</f>
        <v/>
      </c>
      <c r="D24" s="7">
        <f>SUM('Твоя Привелегия'!D24,'Исеть Парк'!D24,'Космонавтов 11'!D24,'Утес'!D24)</f>
        <v/>
      </c>
      <c r="E24" s="7">
        <f>SUM('Твоя Привелегия'!E24,'Исеть Парк'!E24,'Космонавтов 11'!E24,'Утес'!E24)</f>
        <v/>
      </c>
      <c r="F24" s="7">
        <f>SUM('Твоя Привелегия'!F24,'Исеть Парк'!F24,'Космонавтов 11'!F24,'Утес'!F24)</f>
        <v/>
      </c>
      <c r="G24" s="7">
        <f>SUM('Твоя Привелегия'!G24,'Исеть Парк'!G24,'Космонавтов 11'!G24,'Утес'!G24)</f>
        <v/>
      </c>
      <c r="H24" s="7">
        <f>SUM('Твоя Привелегия'!H24,'Исеть Парк'!H24,'Космонавтов 11'!H24,'Утес'!H24)</f>
        <v/>
      </c>
      <c r="I24" s="7">
        <f>SUM('Твоя Привелегия'!I24,'Исеть Парк'!I24,'Космонавтов 11'!I24,'Утес'!I24)</f>
        <v/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SUM('Твоя Привелегия'!B25,'Исеть Парк'!B25,'Космонавтов 11'!B25,'Утес'!B25)</f>
        <v/>
      </c>
      <c r="C25" s="7">
        <f>SUM('Твоя Привелегия'!C25,'Исеть Парк'!C25,'Космонавтов 11'!C25,'Утес'!C25)</f>
        <v/>
      </c>
      <c r="D25" s="7">
        <f>SUM('Твоя Привелегия'!D25,'Исеть Парк'!D25,'Космонавтов 11'!D25,'Утес'!D25)</f>
        <v/>
      </c>
      <c r="E25" s="7">
        <f>SUM('Твоя Привелегия'!E25,'Исеть Парк'!E25,'Космонавтов 11'!E25,'Утес'!E25)</f>
        <v/>
      </c>
      <c r="F25" s="7">
        <f>SUM('Твоя Привелегия'!F25,'Исеть Парк'!F25,'Космонавтов 11'!F25,'Утес'!F25)</f>
        <v/>
      </c>
      <c r="G25" s="7">
        <f>SUM('Твоя Привелегия'!G25,'Исеть Парк'!G25,'Космонавтов 11'!G25,'Утес'!G25)</f>
        <v/>
      </c>
      <c r="H25" s="7">
        <f>SUM('Твоя Привелегия'!H25,'Исеть Парк'!H25,'Космонавтов 11'!H25,'Утес'!H25)</f>
        <v/>
      </c>
      <c r="I25" s="7">
        <f>SUM('Твоя Привелегия'!I25,'Исеть Парк'!I25,'Космонавтов 11'!I25,'Утес'!I25)</f>
        <v/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SUM('Твоя Привелегия'!B26,'Исеть Парк'!B26,'Космонавтов 11'!B26,'Утес'!B26)</f>
        <v/>
      </c>
      <c r="C26" s="7">
        <f>SUM('Твоя Привелегия'!C26,'Исеть Парк'!C26,'Космонавтов 11'!C26,'Утес'!C26)</f>
        <v/>
      </c>
      <c r="D26" s="7">
        <f>SUM('Твоя Привелегия'!D26,'Исеть Парк'!D26,'Космонавтов 11'!D26,'Утес'!D26)</f>
        <v/>
      </c>
      <c r="E26" s="7">
        <f>SUM('Твоя Привелегия'!E26,'Исеть Парк'!E26,'Космонавтов 11'!E26,'Утес'!E26)</f>
        <v/>
      </c>
      <c r="F26" s="7">
        <f>SUM('Твоя Привелегия'!F26,'Исеть Парк'!F26,'Космонавтов 11'!F26,'Утес'!F26)</f>
        <v/>
      </c>
      <c r="G26" s="7">
        <f>SUM('Твоя Привелегия'!G26,'Исеть Парк'!G26,'Космонавтов 11'!G26,'Утес'!G26)</f>
        <v/>
      </c>
      <c r="H26" s="7">
        <f>SUM('Твоя Привелегия'!H26,'Исеть Парк'!H26,'Космонавтов 11'!H26,'Утес'!H26)</f>
        <v/>
      </c>
      <c r="I26" s="7">
        <f>SUM('Твоя Привелегия'!I26,'Исеть Парк'!I26,'Космонавтов 11'!I26,'Утес'!I26)</f>
        <v/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SUM('Твоя Привелегия'!B27,'Исеть Парк'!B27,'Космонавтов 11'!B27,'Утес'!B27)</f>
        <v/>
      </c>
      <c r="C27" s="7">
        <f>SUM('Твоя Привелегия'!C27,'Исеть Парк'!C27,'Космонавтов 11'!C27,'Утес'!C27)</f>
        <v/>
      </c>
      <c r="D27" s="7">
        <f>SUM('Твоя Привелегия'!D27,'Исеть Парк'!D27,'Космонавтов 11'!D27,'Утес'!D27)</f>
        <v/>
      </c>
      <c r="E27" s="7">
        <f>SUM('Твоя Привелегия'!E27,'Исеть Парк'!E27,'Космонавтов 11'!E27,'Утес'!E27)</f>
        <v/>
      </c>
      <c r="F27" s="7">
        <f>SUM('Твоя Привелегия'!F27,'Исеть Парк'!F27,'Космонавтов 11'!F27,'Утес'!F27)</f>
        <v/>
      </c>
      <c r="G27" s="7">
        <f>SUM('Твоя Привелегия'!G27,'Исеть Парк'!G27,'Космонавтов 11'!G27,'Утес'!G27)</f>
        <v/>
      </c>
      <c r="H27" s="7">
        <f>SUM('Твоя Привелегия'!H27,'Исеть Парк'!H27,'Космонавтов 11'!H27,'Утес'!H27)</f>
        <v/>
      </c>
      <c r="I27" s="7">
        <f>SUM('Твоя Привелегия'!I27,'Исеть Парк'!I27,'Космонавтов 11'!I27,'Утес'!I27)</f>
        <v/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SUM('Твоя Привелегия'!B28,'Исеть Парк'!B28,'Космонавтов 11'!B28,'Утес'!B28)</f>
        <v/>
      </c>
      <c r="C28" s="7">
        <f>SUM('Твоя Привелегия'!C28,'Исеть Парк'!C28,'Космонавтов 11'!C28,'Утес'!C28)</f>
        <v/>
      </c>
      <c r="D28" s="7">
        <f>SUM('Твоя Привелегия'!D28,'Исеть Парк'!D28,'Космонавтов 11'!D28,'Утес'!D28)</f>
        <v/>
      </c>
      <c r="E28" s="7">
        <f>SUM('Твоя Привелегия'!E28,'Исеть Парк'!E28,'Космонавтов 11'!E28,'Утес'!E28)</f>
        <v/>
      </c>
      <c r="F28" s="7">
        <f>SUM('Твоя Привелегия'!F28,'Исеть Парк'!F28,'Космонавтов 11'!F28,'Утес'!F28)</f>
        <v/>
      </c>
      <c r="G28" s="7">
        <f>SUM('Твоя Привелегия'!G28,'Исеть Парк'!G28,'Космонавтов 11'!G28,'Утес'!G28)</f>
        <v/>
      </c>
      <c r="H28" s="7">
        <f>SUM('Твоя Привелегия'!H28,'Исеть Парк'!H28,'Космонавтов 11'!H28,'Утес'!H28)</f>
        <v/>
      </c>
      <c r="I28" s="7">
        <f>SUM('Твоя Привелегия'!I28,'Исеть Парк'!I28,'Космонавтов 11'!I28,'Утес'!I28)</f>
        <v/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SUM('Твоя Привелегия'!B29,'Исеть Парк'!B29,'Космонавтов 11'!B29,'Утес'!B29)</f>
        <v/>
      </c>
      <c r="C29" s="7">
        <f>SUM('Твоя Привелегия'!C29,'Исеть Парк'!C29,'Космонавтов 11'!C29,'Утес'!C29)</f>
        <v/>
      </c>
      <c r="D29" s="7">
        <f>SUM('Твоя Привелегия'!D29,'Исеть Парк'!D29,'Космонавтов 11'!D29,'Утес'!D29)</f>
        <v/>
      </c>
      <c r="E29" s="7">
        <f>SUM('Твоя Привелегия'!E29,'Исеть Парк'!E29,'Космонавтов 11'!E29,'Утес'!E29)</f>
        <v/>
      </c>
      <c r="F29" s="7">
        <f>SUM('Твоя Привелегия'!F29,'Исеть Парк'!F29,'Космонавтов 11'!F29,'Утес'!F29)</f>
        <v/>
      </c>
      <c r="G29" s="7">
        <f>SUM('Твоя Привелегия'!G29,'Исеть Парк'!G29,'Космонавтов 11'!G29,'Утес'!G29)</f>
        <v/>
      </c>
      <c r="H29" s="7">
        <f>SUM('Твоя Привелегия'!H29,'Исеть Парк'!H29,'Космонавтов 11'!H29,'Утес'!H29)</f>
        <v/>
      </c>
      <c r="I29" s="7">
        <f>SUM('Твоя Привелегия'!I29,'Исеть Парк'!I29,'Космонавтов 11'!I29,'Утес'!I29)</f>
        <v/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SUM('Твоя Привелегия'!B30,'Исеть Парк'!B30,'Космонавтов 11'!B30,'Утес'!B30)</f>
        <v/>
      </c>
      <c r="C30" s="7">
        <f>SUM('Твоя Привелегия'!C30,'Исеть Парк'!C30,'Космонавтов 11'!C30,'Утес'!C30)</f>
        <v/>
      </c>
      <c r="D30" s="7">
        <f>SUM('Твоя Привелегия'!D30,'Исеть Парк'!D30,'Космонавтов 11'!D30,'Утес'!D30)</f>
        <v/>
      </c>
      <c r="E30" s="7">
        <f>SUM('Твоя Привелегия'!E30,'Исеть Парк'!E30,'Космонавтов 11'!E30,'Утес'!E30)</f>
        <v/>
      </c>
      <c r="F30" s="7">
        <f>SUM('Твоя Привелегия'!F30,'Исеть Парк'!F30,'Космонавтов 11'!F30,'Утес'!F30)</f>
        <v/>
      </c>
      <c r="G30" s="7">
        <f>SUM('Твоя Привелегия'!G30,'Исеть Парк'!G30,'Космонавтов 11'!G30,'Утес'!G30)</f>
        <v/>
      </c>
      <c r="H30" s="7">
        <f>SUM('Твоя Привелегия'!H30,'Исеть Парк'!H30,'Космонавтов 11'!H30,'Утес'!H30)</f>
        <v/>
      </c>
      <c r="I30" s="7">
        <f>SUM('Твоя Привелегия'!I30,'Исеть Парк'!I30,'Космонавтов 11'!I30,'Утес'!I30)</f>
        <v/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SUM('Твоя Привелегия'!B31,'Исеть Парк'!B31,'Космонавтов 11'!B31,'Утес'!B31)</f>
        <v/>
      </c>
      <c r="C31" s="7">
        <f>SUM('Твоя Привелегия'!C31,'Исеть Парк'!C31,'Космонавтов 11'!C31,'Утес'!C31)</f>
        <v/>
      </c>
      <c r="D31" s="7">
        <f>SUM('Твоя Привелегия'!D31,'Исеть Парк'!D31,'Космонавтов 11'!D31,'Утес'!D31)</f>
        <v/>
      </c>
      <c r="E31" s="7">
        <f>SUM('Твоя Привелегия'!E31,'Исеть Парк'!E31,'Космонавтов 11'!E31,'Утес'!E31)</f>
        <v/>
      </c>
      <c r="F31" s="7">
        <f>SUM('Твоя Привелегия'!F31,'Исеть Парк'!F31,'Космонавтов 11'!F31,'Утес'!F31)</f>
        <v/>
      </c>
      <c r="G31" s="7">
        <f>SUM('Твоя Привелегия'!G31,'Исеть Парк'!G31,'Космонавтов 11'!G31,'Утес'!G31)</f>
        <v/>
      </c>
      <c r="H31" s="7">
        <f>SUM('Твоя Привелегия'!H31,'Исеть Парк'!H31,'Космонавтов 11'!H31,'Утес'!H31)</f>
        <v/>
      </c>
      <c r="I31" s="7">
        <f>SUM('Твоя Привелегия'!I31,'Исеть Парк'!I31,'Космонавтов 11'!I31,'Утес'!I31)</f>
        <v/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SUM('Твоя Привелегия'!B32,'Исеть Парк'!B32,'Космонавтов 11'!B32,'Утес'!B32)</f>
        <v/>
      </c>
      <c r="C32" s="7">
        <f>SUM('Твоя Привелегия'!C32,'Исеть Парк'!C32,'Космонавтов 11'!C32,'Утес'!C32)</f>
        <v/>
      </c>
      <c r="D32" s="7">
        <f>SUM('Твоя Привелегия'!D32,'Исеть Парк'!D32,'Космонавтов 11'!D32,'Утес'!D32)</f>
        <v/>
      </c>
      <c r="E32" s="7">
        <f>SUM('Твоя Привелегия'!E32,'Исеть Парк'!E32,'Космонавтов 11'!E32,'Утес'!E32)</f>
        <v/>
      </c>
      <c r="F32" s="7">
        <f>SUM('Твоя Привелегия'!F32,'Исеть Парк'!F32,'Космонавтов 11'!F32,'Утес'!F32)</f>
        <v/>
      </c>
      <c r="G32" s="7">
        <f>SUM('Твоя Привелегия'!G32,'Исеть Парк'!G32,'Космонавтов 11'!G32,'Утес'!G32)</f>
        <v/>
      </c>
      <c r="H32" s="7">
        <f>SUM('Твоя Привелегия'!H32,'Исеть Парк'!H32,'Космонавтов 11'!H32,'Утес'!H32)</f>
        <v/>
      </c>
      <c r="I32" s="7">
        <f>SUM('Твоя Привелегия'!I32,'Исеть Парк'!I32,'Космонавтов 11'!I32,'Утес'!I32)</f>
        <v/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SUM('Твоя Привелегия'!B33,'Исеть Парк'!B33,'Космонавтов 11'!B33,'Утес'!B33)</f>
        <v/>
      </c>
      <c r="C33" s="7">
        <f>SUM('Твоя Привелегия'!C33,'Исеть Парк'!C33,'Космонавтов 11'!C33,'Утес'!C33)</f>
        <v/>
      </c>
      <c r="D33" s="7">
        <f>SUM('Твоя Привелегия'!D33,'Исеть Парк'!D33,'Космонавтов 11'!D33,'Утес'!D33)</f>
        <v/>
      </c>
      <c r="E33" s="7">
        <f>SUM('Твоя Привелегия'!E33,'Исеть Парк'!E33,'Космонавтов 11'!E33,'Утес'!E33)</f>
        <v/>
      </c>
      <c r="F33" s="7">
        <f>SUM('Твоя Привелегия'!F33,'Исеть Парк'!F33,'Космонавтов 11'!F33,'Утес'!F33)</f>
        <v/>
      </c>
      <c r="G33" s="7">
        <f>SUM('Твоя Привелегия'!G33,'Исеть Парк'!G33,'Космонавтов 11'!G33,'Утес'!G33)</f>
        <v/>
      </c>
      <c r="H33" s="7">
        <f>SUM('Твоя Привелегия'!H33,'Исеть Парк'!H33,'Космонавтов 11'!H33,'Утес'!H33)</f>
        <v/>
      </c>
      <c r="I33" s="7">
        <f>SUM('Твоя Привелегия'!I33,'Исеть Парк'!I33,'Космонавтов 11'!I33,'Утес'!I33)</f>
        <v/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SUM('Твоя Привелегия'!B35,'Исеть Парк'!B35,'Космонавтов 11'!B35,'Утес'!B35)</f>
        <v/>
      </c>
      <c r="C35" s="7">
        <f>SUM('Твоя Привелегия'!C35,'Исеть Парк'!C35,'Космонавтов 11'!C35,'Утес'!C35)</f>
        <v/>
      </c>
      <c r="D35" s="7">
        <f>SUM('Твоя Привелегия'!D35,'Исеть Парк'!D35,'Космонавтов 11'!D35,'Утес'!D35)</f>
        <v/>
      </c>
      <c r="E35" s="7">
        <f>SUM('Твоя Привелегия'!E35,'Исеть Парк'!E35,'Космонавтов 11'!E35,'Утес'!E35)</f>
        <v/>
      </c>
      <c r="F35" s="7">
        <f>SUM('Твоя Привелегия'!F35,'Исеть Парк'!F35,'Космонавтов 11'!F35,'Утес'!F35)</f>
        <v/>
      </c>
      <c r="G35" s="7">
        <f>SUM('Твоя Привелегия'!G35,'Исеть Парк'!G35,'Космонавтов 11'!G35,'Утес'!G35)</f>
        <v/>
      </c>
      <c r="H35" s="7">
        <f>SUM('Твоя Привелегия'!H35,'Исеть Парк'!H35,'Космонавтов 11'!H35,'Утес'!H35)</f>
        <v/>
      </c>
      <c r="I35" s="7">
        <f>SUM('Твоя Привелегия'!I35,'Исеть Парк'!I35,'Космонавтов 11'!I35,'Утес'!I35)</f>
        <v/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SUM('Твоя Привелегия'!B36,'Исеть Парк'!B36,'Космонавтов 11'!B36,'Утес'!B36)</f>
        <v/>
      </c>
      <c r="C36" s="7">
        <f>SUM('Твоя Привелегия'!C36,'Исеть Парк'!C36,'Космонавтов 11'!C36,'Утес'!C36)</f>
        <v/>
      </c>
      <c r="D36" s="7">
        <f>SUM('Твоя Привелегия'!D36,'Исеть Парк'!D36,'Космонавтов 11'!D36,'Утес'!D36)</f>
        <v/>
      </c>
      <c r="E36" s="7">
        <f>SUM('Твоя Привелегия'!E36,'Исеть Парк'!E36,'Космонавтов 11'!E36,'Утес'!E36)</f>
        <v/>
      </c>
      <c r="F36" s="7">
        <f>SUM('Твоя Привелегия'!F36,'Исеть Парк'!F36,'Космонавтов 11'!F36,'Утес'!F36)</f>
        <v/>
      </c>
      <c r="G36" s="7">
        <f>SUM('Твоя Привелегия'!G36,'Исеть Парк'!G36,'Космонавтов 11'!G36,'Утес'!G36)</f>
        <v/>
      </c>
      <c r="H36" s="7">
        <f>SUM('Твоя Привелегия'!H36,'Исеть Парк'!H36,'Космонавтов 11'!H36,'Утес'!H36)</f>
        <v/>
      </c>
      <c r="I36" s="7">
        <f>SUM('Твоя Привелегия'!I36,'Исеть Парк'!I36,'Космонавтов 11'!I36,'Утес'!I36)</f>
        <v/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SUM('Твоя Привелегия'!B37,'Исеть Парк'!B37,'Космонавтов 11'!B37,'Утес'!B37)</f>
        <v/>
      </c>
      <c r="C37" s="7">
        <f>SUM('Твоя Привелегия'!C37,'Исеть Парк'!C37,'Космонавтов 11'!C37,'Утес'!C37)</f>
        <v/>
      </c>
      <c r="D37" s="7">
        <f>SUM('Твоя Привелегия'!D37,'Исеть Парк'!D37,'Космонавтов 11'!D37,'Утес'!D37)</f>
        <v/>
      </c>
      <c r="E37" s="7">
        <f>SUM('Твоя Привелегия'!E37,'Исеть Парк'!E37,'Космонавтов 11'!E37,'Утес'!E37)</f>
        <v/>
      </c>
      <c r="F37" s="7">
        <f>SUM('Твоя Привелегия'!F37,'Исеть Парк'!F37,'Космонавтов 11'!F37,'Утес'!F37)</f>
        <v/>
      </c>
      <c r="G37" s="7">
        <f>SUM('Твоя Привелегия'!G37,'Исеть Парк'!G37,'Космонавтов 11'!G37,'Утес'!G37)</f>
        <v/>
      </c>
      <c r="H37" s="7">
        <f>SUM('Твоя Привелегия'!H37,'Исеть Парк'!H37,'Космонавтов 11'!H37,'Утес'!H37)</f>
        <v/>
      </c>
      <c r="I37" s="7">
        <f>SUM('Твоя Привелегия'!I37,'Исеть Парк'!I37,'Космонавтов 11'!I37,'Утес'!I37)</f>
        <v/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SUM('Твоя Привелегия'!B38,'Исеть Парк'!B38,'Космонавтов 11'!B38,'Утес'!B38)</f>
        <v/>
      </c>
      <c r="C38" s="7">
        <f>SUM('Твоя Привелегия'!C38,'Исеть Парк'!C38,'Космонавтов 11'!C38,'Утес'!C38)</f>
        <v/>
      </c>
      <c r="D38" s="7">
        <f>SUM('Твоя Привелегия'!D38,'Исеть Парк'!D38,'Космонавтов 11'!D38,'Утес'!D38)</f>
        <v/>
      </c>
      <c r="E38" s="7">
        <f>SUM('Твоя Привелегия'!E38,'Исеть Парк'!E38,'Космонавтов 11'!E38,'Утес'!E38)</f>
        <v/>
      </c>
      <c r="F38" s="7">
        <f>SUM('Твоя Привелегия'!F38,'Исеть Парк'!F38,'Космонавтов 11'!F38,'Утес'!F38)</f>
        <v/>
      </c>
      <c r="G38" s="7">
        <f>SUM('Твоя Привелегия'!G38,'Исеть Парк'!G38,'Космонавтов 11'!G38,'Утес'!G38)</f>
        <v/>
      </c>
      <c r="H38" s="7">
        <f>SUM('Твоя Привелегия'!H38,'Исеть Парк'!H38,'Космонавтов 11'!H38,'Утес'!H38)</f>
        <v/>
      </c>
      <c r="I38" s="7">
        <f>SUM('Твоя Привелегия'!I38,'Исеть Парк'!I38,'Космонавтов 11'!I38,'Утес'!I38)</f>
        <v/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SUM('Твоя Привелегия'!B39,'Исеть Парк'!B39,'Космонавтов 11'!B39,'Утес'!B39)</f>
        <v/>
      </c>
      <c r="C39" s="7">
        <f>SUM('Твоя Привелегия'!C39,'Исеть Парк'!C39,'Космонавтов 11'!C39,'Утес'!C39)</f>
        <v/>
      </c>
      <c r="D39" s="7">
        <f>SUM('Твоя Привелегия'!D39,'Исеть Парк'!D39,'Космонавтов 11'!D39,'Утес'!D39)</f>
        <v/>
      </c>
      <c r="E39" s="7">
        <f>SUM('Твоя Привелегия'!E39,'Исеть Парк'!E39,'Космонавтов 11'!E39,'Утес'!E39)</f>
        <v/>
      </c>
      <c r="F39" s="7">
        <f>SUM('Твоя Привелегия'!F39,'Исеть Парк'!F39,'Космонавтов 11'!F39,'Утес'!F39)</f>
        <v/>
      </c>
      <c r="G39" s="7">
        <f>SUM('Твоя Привелегия'!G39,'Исеть Парк'!G39,'Космонавтов 11'!G39,'Утес'!G39)</f>
        <v/>
      </c>
      <c r="H39" s="7">
        <f>SUM('Твоя Привелегия'!H39,'Исеть Парк'!H39,'Космонавтов 11'!H39,'Утес'!H39)</f>
        <v/>
      </c>
      <c r="I39" s="7">
        <f>SUM('Твоя Привелегия'!I39,'Исеть Парк'!I39,'Космонавтов 11'!I39,'Утес'!I39)</f>
        <v/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SUM('Твоя Привелегия'!B40,'Исеть Парк'!B40,'Космонавтов 11'!B40,'Утес'!B40)</f>
        <v/>
      </c>
      <c r="C40" s="7">
        <f>SUM('Твоя Привелегия'!C40,'Исеть Парк'!C40,'Космонавтов 11'!C40,'Утес'!C40)</f>
        <v/>
      </c>
      <c r="D40" s="7">
        <f>SUM('Твоя Привелегия'!D40,'Исеть Парк'!D40,'Космонавтов 11'!D40,'Утес'!D40)</f>
        <v/>
      </c>
      <c r="E40" s="7">
        <f>SUM('Твоя Привелегия'!E40,'Исеть Парк'!E40,'Космонавтов 11'!E40,'Утес'!E40)</f>
        <v/>
      </c>
      <c r="F40" s="7">
        <f>SUM('Твоя Привелегия'!F40,'Исеть Парк'!F40,'Космонавтов 11'!F40,'Утес'!F40)</f>
        <v/>
      </c>
      <c r="G40" s="7">
        <f>SUM('Твоя Привелегия'!G40,'Исеть Парк'!G40,'Космонавтов 11'!G40,'Утес'!G40)</f>
        <v/>
      </c>
      <c r="H40" s="7">
        <f>SUM('Твоя Привелегия'!H40,'Исеть Парк'!H40,'Космонавтов 11'!H40,'Утес'!H40)</f>
        <v/>
      </c>
      <c r="I40" s="7">
        <f>SUM('Твоя Привелегия'!I40,'Исеть Парк'!I40,'Космонавтов 11'!I40,'Утес'!I40)</f>
        <v/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SUM('Твоя Привелегия'!B41,'Исеть Парк'!B41,'Космонавтов 11'!B41,'Утес'!B41)</f>
        <v/>
      </c>
      <c r="C41" s="7">
        <f>SUM('Твоя Привелегия'!C41,'Исеть Парк'!C41,'Космонавтов 11'!C41,'Утес'!C41)</f>
        <v/>
      </c>
      <c r="D41" s="7">
        <f>SUM('Твоя Привелегия'!D41,'Исеть Парк'!D41,'Космонавтов 11'!D41,'Утес'!D41)</f>
        <v/>
      </c>
      <c r="E41" s="7">
        <f>SUM('Твоя Привелегия'!E41,'Исеть Парк'!E41,'Космонавтов 11'!E41,'Утес'!E41)</f>
        <v/>
      </c>
      <c r="F41" s="7">
        <f>SUM('Твоя Привелегия'!F41,'Исеть Парк'!F41,'Космонавтов 11'!F41,'Утес'!F41)</f>
        <v/>
      </c>
      <c r="G41" s="7">
        <f>SUM('Твоя Привелегия'!G41,'Исеть Парк'!G41,'Космонавтов 11'!G41,'Утес'!G41)</f>
        <v/>
      </c>
      <c r="H41" s="7">
        <f>SUM('Твоя Привелегия'!H41,'Исеть Парк'!H41,'Космонавтов 11'!H41,'Утес'!H41)</f>
        <v/>
      </c>
      <c r="I41" s="7">
        <f>SUM('Твоя Привелегия'!I41,'Исеть Парк'!I41,'Космонавтов 11'!I41,'Утес'!I41)</f>
        <v/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SUM('Твоя Привелегия'!B42,'Исеть Парк'!B42,'Космонавтов 11'!B42,'Утес'!B42)</f>
        <v/>
      </c>
      <c r="C42" s="7">
        <f>SUM('Твоя Привелегия'!C42,'Исеть Парк'!C42,'Космонавтов 11'!C42,'Утес'!C42)</f>
        <v/>
      </c>
      <c r="D42" s="7">
        <f>SUM('Твоя Привелегия'!D42,'Исеть Парк'!D42,'Космонавтов 11'!D42,'Утес'!D42)</f>
        <v/>
      </c>
      <c r="E42" s="7">
        <f>SUM('Твоя Привелегия'!E42,'Исеть Парк'!E42,'Космонавтов 11'!E42,'Утес'!E42)</f>
        <v/>
      </c>
      <c r="F42" s="7">
        <f>SUM('Твоя Привелегия'!F42,'Исеть Парк'!F42,'Космонавтов 11'!F42,'Утес'!F42)</f>
        <v/>
      </c>
      <c r="G42" s="7">
        <f>SUM('Твоя Привелегия'!G42,'Исеть Парк'!G42,'Космонавтов 11'!G42,'Утес'!G42)</f>
        <v/>
      </c>
      <c r="H42" s="7">
        <f>SUM('Твоя Привелегия'!H42,'Исеть Парк'!H42,'Космонавтов 11'!H42,'Утес'!H42)</f>
        <v/>
      </c>
      <c r="I42" s="7">
        <f>SUM('Твоя Привелегия'!I42,'Исеть Парк'!I42,'Космонавтов 11'!I42,'Утес'!I42)</f>
        <v/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IF(B4=0,"-",B43/B4)</f>
        <v/>
      </c>
      <c r="C44" s="10">
        <f>IF(C4=0,"-",C43/C4)</f>
        <v/>
      </c>
      <c r="D44" s="10">
        <f>IF(D4=0,"-",D43/D4)</f>
        <v/>
      </c>
      <c r="E44" s="10">
        <f>IF(E4=0,"-",E43/E4)</f>
        <v/>
      </c>
      <c r="F44" s="10">
        <f>IF(F4=0,"-",F43/F4)</f>
        <v/>
      </c>
      <c r="G44" s="10">
        <f>IF(G4=0,"-",G43/G4)</f>
        <v/>
      </c>
      <c r="H44" s="10">
        <f>IF(H4=0,"-",H43/H4)</f>
        <v/>
      </c>
      <c r="I44" s="10">
        <f>IF(I4=0,"-",I43/I4)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SUM('Твоя Привелегия'!B46,'Исеть Парк'!B46,'Космонавтов 11'!B46,'Утес'!B46)</f>
        <v/>
      </c>
      <c r="C46" s="7">
        <f>SUM('Твоя Привелегия'!C46,'Исеть Парк'!C46,'Космонавтов 11'!C46,'Утес'!C46)</f>
        <v/>
      </c>
      <c r="D46" s="7">
        <f>SUM('Твоя Привелегия'!D46,'Исеть Парк'!D46,'Космонавтов 11'!D46,'Утес'!D46)</f>
        <v/>
      </c>
      <c r="E46" s="7">
        <f>SUM('Твоя Привелегия'!E46,'Исеть Парк'!E46,'Космонавтов 11'!E46,'Утес'!E46)</f>
        <v/>
      </c>
      <c r="F46" s="7">
        <f>SUM('Твоя Привелегия'!F46,'Исеть Парк'!F46,'Космонавтов 11'!F46,'Утес'!F46)</f>
        <v/>
      </c>
      <c r="G46" s="7">
        <f>SUM('Твоя Привелегия'!G46,'Исеть Парк'!G46,'Космонавтов 11'!G46,'Утес'!G46)</f>
        <v/>
      </c>
      <c r="H46" s="7">
        <f>SUM('Твоя Привелегия'!H46,'Исеть Парк'!H46,'Космонавтов 11'!H46,'Утес'!H46)</f>
        <v/>
      </c>
      <c r="I46" s="7">
        <f>SUM('Твоя Привелегия'!I46,'Исеть Парк'!I46,'Космонавтов 11'!I46,'Утес'!I46)</f>
        <v/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SUM('Твоя Привелегия'!B47,'Исеть Парк'!B47,'Космонавтов 11'!B47,'Утес'!B47)</f>
        <v/>
      </c>
      <c r="C47" s="7">
        <f>SUM('Твоя Привелегия'!C47,'Исеть Парк'!C47,'Космонавтов 11'!C47,'Утес'!C47)</f>
        <v/>
      </c>
      <c r="D47" s="7">
        <f>SUM('Твоя Привелегия'!D47,'Исеть Парк'!D47,'Космонавтов 11'!D47,'Утес'!D47)</f>
        <v/>
      </c>
      <c r="E47" s="7">
        <f>SUM('Твоя Привелегия'!E47,'Исеть Парк'!E47,'Космонавтов 11'!E47,'Утес'!E47)</f>
        <v/>
      </c>
      <c r="F47" s="7">
        <f>SUM('Твоя Привелегия'!F47,'Исеть Парк'!F47,'Космонавтов 11'!F47,'Утес'!F47)</f>
        <v/>
      </c>
      <c r="G47" s="7">
        <f>SUM('Твоя Привелегия'!G47,'Исеть Парк'!G47,'Космонавтов 11'!G47,'Утес'!G47)</f>
        <v/>
      </c>
      <c r="H47" s="7">
        <f>SUM('Твоя Привелегия'!H47,'Исеть Парк'!H47,'Космонавтов 11'!H47,'Утес'!H47)</f>
        <v/>
      </c>
      <c r="I47" s="7">
        <f>SUM('Твоя Привелегия'!I47,'Исеть Парк'!I47,'Космонавтов 11'!I47,'Утес'!I47)</f>
        <v/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SUM('Твоя Привелегия'!B49,'Исеть Парк'!B49,'Космонавтов 11'!B49,'Утес'!B49)</f>
        <v/>
      </c>
      <c r="C49" s="7">
        <f>SUM('Твоя Привелегия'!C49,'Исеть Парк'!C49,'Космонавтов 11'!C49,'Утес'!C49)</f>
        <v/>
      </c>
      <c r="D49" s="7">
        <f>SUM('Твоя Привелегия'!D49,'Исеть Парк'!D49,'Космонавтов 11'!D49,'Утес'!D49)</f>
        <v/>
      </c>
      <c r="E49" s="7">
        <f>SUM('Твоя Привелегия'!E49,'Исеть Парк'!E49,'Космонавтов 11'!E49,'Утес'!E49)</f>
        <v/>
      </c>
      <c r="F49" s="7">
        <f>SUM('Твоя Привелегия'!F49,'Исеть Парк'!F49,'Космонавтов 11'!F49,'Утес'!F49)</f>
        <v/>
      </c>
      <c r="G49" s="7">
        <f>SUM('Твоя Привелегия'!G49,'Исеть Парк'!G49,'Космонавтов 11'!G49,'Утес'!G49)</f>
        <v/>
      </c>
      <c r="H49" s="7">
        <f>SUM('Твоя Привелегия'!H49,'Исеть Парк'!H49,'Космонавтов 11'!H49,'Утес'!H49)</f>
        <v/>
      </c>
      <c r="I49" s="7">
        <f>SUM('Твоя Привелегия'!I49,'Исеть Парк'!I49,'Космонавтов 11'!I49,'Утес'!I49)</f>
        <v/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SUM('Твоя Привелегия'!B50,'Исеть Парк'!B50,'Космонавтов 11'!B50,'Утес'!B50)</f>
        <v/>
      </c>
      <c r="C50" s="7">
        <f>SUM('Твоя Привелегия'!C50,'Исеть Парк'!C50,'Космонавтов 11'!C50,'Утес'!C50)</f>
        <v/>
      </c>
      <c r="D50" s="7">
        <f>SUM('Твоя Привелегия'!D50,'Исеть Парк'!D50,'Космонавтов 11'!D50,'Утес'!D50)</f>
        <v/>
      </c>
      <c r="E50" s="7">
        <f>SUM('Твоя Привелегия'!E50,'Исеть Парк'!E50,'Космонавтов 11'!E50,'Утес'!E50)</f>
        <v/>
      </c>
      <c r="F50" s="7">
        <f>SUM('Твоя Привелегия'!F50,'Исеть Парк'!F50,'Космонавтов 11'!F50,'Утес'!F50)</f>
        <v/>
      </c>
      <c r="G50" s="7">
        <f>SUM('Твоя Привелегия'!G50,'Исеть Парк'!G50,'Космонавтов 11'!G50,'Утес'!G50)</f>
        <v/>
      </c>
      <c r="H50" s="7">
        <f>SUM('Твоя Привелегия'!H50,'Исеть Парк'!H50,'Космонавтов 11'!H50,'Утес'!H50)</f>
        <v/>
      </c>
      <c r="I50" s="7">
        <f>SUM('Твоя Привелегия'!I50,'Исеть Парк'!I50,'Космонавтов 11'!I50,'Утес'!I50)</f>
        <v/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SUM('Твоя Привелегия'!B51,'Исеть Парк'!B51,'Космонавтов 11'!B51,'Утес'!B51)</f>
        <v/>
      </c>
      <c r="C51" s="7">
        <f>SUM('Твоя Привелегия'!C51,'Исеть Парк'!C51,'Космонавтов 11'!C51,'Утес'!C51)</f>
        <v/>
      </c>
      <c r="D51" s="7">
        <f>SUM('Твоя Привелегия'!D51,'Исеть Парк'!D51,'Космонавтов 11'!D51,'Утес'!D51)</f>
        <v/>
      </c>
      <c r="E51" s="7">
        <f>SUM('Твоя Привелегия'!E51,'Исеть Парк'!E51,'Космонавтов 11'!E51,'Утес'!E51)</f>
        <v/>
      </c>
      <c r="F51" s="7">
        <f>SUM('Твоя Привелегия'!F51,'Исеть Парк'!F51,'Космонавтов 11'!F51,'Утес'!F51)</f>
        <v/>
      </c>
      <c r="G51" s="7">
        <f>SUM('Твоя Привелегия'!G51,'Исеть Парк'!G51,'Космонавтов 11'!G51,'Утес'!G51)</f>
        <v/>
      </c>
      <c r="H51" s="7">
        <f>SUM('Твоя Привелегия'!H51,'Исеть Парк'!H51,'Космонавтов 11'!H51,'Утес'!H51)</f>
        <v/>
      </c>
      <c r="I51" s="7">
        <f>SUM('Твоя Привелегия'!I51,'Исеть Парк'!I51,'Космонавтов 11'!I51,'Утес'!I51)</f>
        <v/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SUM('Твоя Привелегия'!B53,'Исеть Парк'!B53,'Космонавтов 11'!B53,'Утес'!B53)</f>
        <v/>
      </c>
      <c r="C53" s="7">
        <f>SUM('Твоя Привелегия'!C53,'Исеть Парк'!C53,'Космонавтов 11'!C53,'Утес'!C53)</f>
        <v/>
      </c>
      <c r="D53" s="7">
        <f>SUM('Твоя Привелегия'!D53,'Исеть Парк'!D53,'Космонавтов 11'!D53,'Утес'!D53)</f>
        <v/>
      </c>
      <c r="E53" s="7">
        <f>SUM('Твоя Привелегия'!E53,'Исеть Парк'!E53,'Космонавтов 11'!E53,'Утес'!E53)</f>
        <v/>
      </c>
      <c r="F53" s="7">
        <f>SUM('Твоя Привелегия'!F53,'Исеть Парк'!F53,'Космонавтов 11'!F53,'Утес'!F53)</f>
        <v/>
      </c>
      <c r="G53" s="7">
        <f>SUM('Твоя Привелегия'!G53,'Исеть Парк'!G53,'Космонавтов 11'!G53,'Утес'!G53)</f>
        <v/>
      </c>
      <c r="H53" s="7">
        <f>SUM('Твоя Привелегия'!H53,'Исеть Парк'!H53,'Космонавтов 11'!H53,'Утес'!H53)</f>
        <v/>
      </c>
      <c r="I53" s="7">
        <f>SUM('Твоя Привелегия'!I53,'Исеть Парк'!I53,'Космонавтов 11'!I53,'Утес'!I53)</f>
        <v/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SUM('Твоя Привелегия'!B54,'Исеть Парк'!B54,'Космонавтов 11'!B54,'Утес'!B54)</f>
        <v/>
      </c>
      <c r="C54" s="7">
        <f>SUM('Твоя Привелегия'!C54,'Исеть Парк'!C54,'Космонавтов 11'!C54,'Утес'!C54)</f>
        <v/>
      </c>
      <c r="D54" s="7">
        <f>SUM('Твоя Привелегия'!D54,'Исеть Парк'!D54,'Космонавтов 11'!D54,'Утес'!D54)</f>
        <v/>
      </c>
      <c r="E54" s="7">
        <f>SUM('Твоя Привелегия'!E54,'Исеть Парк'!E54,'Космонавтов 11'!E54,'Утес'!E54)</f>
        <v/>
      </c>
      <c r="F54" s="7">
        <f>SUM('Твоя Привелегия'!F54,'Исеть Парк'!F54,'Космонавтов 11'!F54,'Утес'!F54)</f>
        <v/>
      </c>
      <c r="G54" s="7">
        <f>SUM('Твоя Привелегия'!G54,'Исеть Парк'!G54,'Космонавтов 11'!G54,'Утес'!G54)</f>
        <v/>
      </c>
      <c r="H54" s="7">
        <f>SUM('Твоя Привелегия'!H54,'Исеть Парк'!H54,'Космонавтов 11'!H54,'Утес'!H54)</f>
        <v/>
      </c>
      <c r="I54" s="7">
        <f>SUM('Твоя Привелегия'!I54,'Исеть Парк'!I54,'Космонавтов 11'!I54,'Утес'!I54)</f>
        <v/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SUM('Твоя Привелегия'!B55,'Исеть Парк'!B55,'Космонавтов 11'!B55,'Утес'!B55)</f>
        <v/>
      </c>
      <c r="C55" s="7">
        <f>SUM('Твоя Привелегия'!C55,'Исеть Парк'!C55,'Космонавтов 11'!C55,'Утес'!C55)</f>
        <v/>
      </c>
      <c r="D55" s="7">
        <f>SUM('Твоя Привелегия'!D55,'Исеть Парк'!D55,'Космонавтов 11'!D55,'Утес'!D55)</f>
        <v/>
      </c>
      <c r="E55" s="7">
        <f>SUM('Твоя Привелегия'!E55,'Исеть Парк'!E55,'Космонавтов 11'!E55,'Утес'!E55)</f>
        <v/>
      </c>
      <c r="F55" s="7">
        <f>SUM('Твоя Привелегия'!F55,'Исеть Парк'!F55,'Космонавтов 11'!F55,'Утес'!F55)</f>
        <v/>
      </c>
      <c r="G55" s="7">
        <f>SUM('Твоя Привелегия'!G55,'Исеть Парк'!G55,'Космонавтов 11'!G55,'Утес'!G55)</f>
        <v/>
      </c>
      <c r="H55" s="7">
        <f>SUM('Твоя Привелегия'!H55,'Исеть Парк'!H55,'Космонавтов 11'!H55,'Утес'!H55)</f>
        <v/>
      </c>
      <c r="I55" s="7">
        <f>SUM('Твоя Привелегия'!I55,'Исеть Парк'!I55,'Космонавтов 11'!I55,'Утес'!I55)</f>
        <v/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SUM('Твоя Привелегия'!B56,'Исеть Парк'!B56,'Космонавтов 11'!B56,'Утес'!B56)</f>
        <v/>
      </c>
      <c r="C56" s="7">
        <f>SUM('Твоя Привелегия'!C56,'Исеть Парк'!C56,'Космонавтов 11'!C56,'Утес'!C56)</f>
        <v/>
      </c>
      <c r="D56" s="7">
        <f>SUM('Твоя Привелегия'!D56,'Исеть Парк'!D56,'Космонавтов 11'!D56,'Утес'!D56)</f>
        <v/>
      </c>
      <c r="E56" s="7">
        <f>SUM('Твоя Привелегия'!E56,'Исеть Парк'!E56,'Космонавтов 11'!E56,'Утес'!E56)</f>
        <v/>
      </c>
      <c r="F56" s="7">
        <f>SUM('Твоя Привелегия'!F56,'Исеть Парк'!F56,'Космонавтов 11'!F56,'Утес'!F56)</f>
        <v/>
      </c>
      <c r="G56" s="7">
        <f>SUM('Твоя Привелегия'!G56,'Исеть Парк'!G56,'Космонавтов 11'!G56,'Утес'!G56)</f>
        <v/>
      </c>
      <c r="H56" s="7">
        <f>SUM('Твоя Привелегия'!H56,'Исеть Парк'!H56,'Космонавтов 11'!H56,'Утес'!H56)</f>
        <v/>
      </c>
      <c r="I56" s="7">
        <f>SUM('Твоя Привелегия'!I56,'Исеть Парк'!I56,'Космонавтов 11'!I56,'Утес'!I56)</f>
        <v/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SUM('Твоя Привелегия'!B57,'Исеть Парк'!B57,'Космонавтов 11'!B57,'Утес'!B57)</f>
        <v/>
      </c>
      <c r="C57" s="7">
        <f>SUM('Твоя Привелегия'!C57,'Исеть Парк'!C57,'Космонавтов 11'!C57,'Утес'!C57)</f>
        <v/>
      </c>
      <c r="D57" s="7">
        <f>SUM('Твоя Привелегия'!D57,'Исеть Парк'!D57,'Космонавтов 11'!D57,'Утес'!D57)</f>
        <v/>
      </c>
      <c r="E57" s="7">
        <f>SUM('Твоя Привелегия'!E57,'Исеть Парк'!E57,'Космонавтов 11'!E57,'Утес'!E57)</f>
        <v/>
      </c>
      <c r="F57" s="7">
        <f>SUM('Твоя Привелегия'!F57,'Исеть Парк'!F57,'Космонавтов 11'!F57,'Утес'!F57)</f>
        <v/>
      </c>
      <c r="G57" s="7">
        <f>SUM('Твоя Привелегия'!G57,'Исеть Парк'!G57,'Космонавтов 11'!G57,'Утес'!G57)</f>
        <v/>
      </c>
      <c r="H57" s="7">
        <f>SUM('Твоя Привелегия'!H57,'Исеть Парк'!H57,'Космонавтов 11'!H57,'Утес'!H57)</f>
        <v/>
      </c>
      <c r="I57" s="7">
        <f>SUM('Твоя Привелегия'!I57,'Исеть Парк'!I57,'Космонавтов 11'!I57,'Утес'!I57)</f>
        <v/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SUM('Твоя Привелегия'!B58,'Исеть Парк'!B58,'Космонавтов 11'!B58,'Утес'!B58)</f>
        <v/>
      </c>
      <c r="C58" s="7">
        <f>SUM('Твоя Привелегия'!C58,'Исеть Парк'!C58,'Космонавтов 11'!C58,'Утес'!C58)</f>
        <v/>
      </c>
      <c r="D58" s="7">
        <f>SUM('Твоя Привелегия'!D58,'Исеть Парк'!D58,'Космонавтов 11'!D58,'Утес'!D58)</f>
        <v/>
      </c>
      <c r="E58" s="7">
        <f>SUM('Твоя Привелегия'!E58,'Исеть Парк'!E58,'Космонавтов 11'!E58,'Утес'!E58)</f>
        <v/>
      </c>
      <c r="F58" s="7">
        <f>SUM('Твоя Привелегия'!F58,'Исеть Парк'!F58,'Космонавтов 11'!F58,'Утес'!F58)</f>
        <v/>
      </c>
      <c r="G58" s="7">
        <f>SUM('Твоя Привелегия'!G58,'Исеть Парк'!G58,'Космонавтов 11'!G58,'Утес'!G58)</f>
        <v/>
      </c>
      <c r="H58" s="7">
        <f>SUM('Твоя Привелегия'!H58,'Исеть Парк'!H58,'Космонавтов 11'!H58,'Утес'!H58)</f>
        <v/>
      </c>
      <c r="I58" s="7">
        <f>SUM('Твоя Привелегия'!I58,'Исеть Парк'!I58,'Космонавтов 11'!I58,'Утес'!I58)</f>
        <v/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SUM('Твоя Привелегия'!B59,'Исеть Парк'!B59,'Космонавтов 11'!B59,'Утес'!B59)</f>
        <v/>
      </c>
      <c r="C59" s="7">
        <f>SUM('Твоя Привелегия'!C59,'Исеть Парк'!C59,'Космонавтов 11'!C59,'Утес'!C59)</f>
        <v/>
      </c>
      <c r="D59" s="7">
        <f>SUM('Твоя Привелегия'!D59,'Исеть Парк'!D59,'Космонавтов 11'!D59,'Утес'!D59)</f>
        <v/>
      </c>
      <c r="E59" s="7">
        <f>SUM('Твоя Привелегия'!E59,'Исеть Парк'!E59,'Космонавтов 11'!E59,'Утес'!E59)</f>
        <v/>
      </c>
      <c r="F59" s="7">
        <f>SUM('Твоя Привелегия'!F59,'Исеть Парк'!F59,'Космонавтов 11'!F59,'Утес'!F59)</f>
        <v/>
      </c>
      <c r="G59" s="7">
        <f>SUM('Твоя Привелегия'!G59,'Исеть Парк'!G59,'Космонавтов 11'!G59,'Утес'!G59)</f>
        <v/>
      </c>
      <c r="H59" s="7">
        <f>SUM('Твоя Привелегия'!H59,'Исеть Парк'!H59,'Космонавтов 11'!H59,'Утес'!H59)</f>
        <v/>
      </c>
      <c r="I59" s="7">
        <f>SUM('Твоя Привелегия'!I59,'Исеть Парк'!I59,'Космонавтов 11'!I59,'Утес'!I59)</f>
        <v/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SUM('Твоя Привелегия'!B61,'Исеть Парк'!B61,'Космонавтов 11'!B61,'Утес'!B61)</f>
        <v/>
      </c>
      <c r="C61" s="7">
        <f>SUM('Твоя Привелегия'!C61,'Исеть Парк'!C61,'Космонавтов 11'!C61,'Утес'!C61)</f>
        <v/>
      </c>
      <c r="D61" s="7">
        <f>SUM('Твоя Привелегия'!D61,'Исеть Парк'!D61,'Космонавтов 11'!D61,'Утес'!D61)</f>
        <v/>
      </c>
      <c r="E61" s="7">
        <f>SUM('Твоя Привелегия'!E61,'Исеть Парк'!E61,'Космонавтов 11'!E61,'Утес'!E61)</f>
        <v/>
      </c>
      <c r="F61" s="7">
        <f>SUM('Твоя Привелегия'!F61,'Исеть Парк'!F61,'Космонавтов 11'!F61,'Утес'!F61)</f>
        <v/>
      </c>
      <c r="G61" s="7">
        <f>SUM('Твоя Привелегия'!G61,'Исеть Парк'!G61,'Космонавтов 11'!G61,'Утес'!G61)</f>
        <v/>
      </c>
      <c r="H61" s="7">
        <f>SUM('Твоя Привелегия'!H61,'Исеть Парк'!H61,'Космонавтов 11'!H61,'Утес'!H61)</f>
        <v/>
      </c>
      <c r="I61" s="7">
        <f>SUM('Твоя Привелегия'!I61,'Исеть Парк'!I61,'Космонавтов 11'!I61,'Утес'!I61)</f>
        <v/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SUM('Твоя Привелегия'!B62,'Исеть Парк'!B62,'Космонавтов 11'!B62,'Утес'!B62)</f>
        <v/>
      </c>
      <c r="C62" s="7">
        <f>SUM('Твоя Привелегия'!C62,'Исеть Парк'!C62,'Космонавтов 11'!C62,'Утес'!C62)</f>
        <v/>
      </c>
      <c r="D62" s="7">
        <f>SUM('Твоя Привелегия'!D62,'Исеть Парк'!D62,'Космонавтов 11'!D62,'Утес'!D62)</f>
        <v/>
      </c>
      <c r="E62" s="7">
        <f>SUM('Твоя Привелегия'!E62,'Исеть Парк'!E62,'Космонавтов 11'!E62,'Утес'!E62)</f>
        <v/>
      </c>
      <c r="F62" s="7">
        <f>SUM('Твоя Привелегия'!F62,'Исеть Парк'!F62,'Космонавтов 11'!F62,'Утес'!F62)</f>
        <v/>
      </c>
      <c r="G62" s="7">
        <f>SUM('Твоя Привелегия'!G62,'Исеть Парк'!G62,'Космонавтов 11'!G62,'Утес'!G62)</f>
        <v/>
      </c>
      <c r="H62" s="7">
        <f>SUM('Твоя Привелегия'!H62,'Исеть Парк'!H62,'Космонавтов 11'!H62,'Утес'!H62)</f>
        <v/>
      </c>
      <c r="I62" s="7">
        <f>SUM('Твоя Привелегия'!I62,'Исеть Парк'!I62,'Космонавтов 11'!I62,'Утес'!I62)</f>
        <v/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SUM('Твоя Привелегия'!B63,'Исеть Парк'!B63,'Космонавтов 11'!B63,'Утес'!B63)</f>
        <v/>
      </c>
      <c r="C63" s="7">
        <f>SUM('Твоя Привелегия'!C63,'Исеть Парк'!C63,'Космонавтов 11'!C63,'Утес'!C63)</f>
        <v/>
      </c>
      <c r="D63" s="7">
        <f>SUM('Твоя Привелегия'!D63,'Исеть Парк'!D63,'Космонавтов 11'!D63,'Утес'!D63)</f>
        <v/>
      </c>
      <c r="E63" s="7">
        <f>SUM('Твоя Привелегия'!E63,'Исеть Парк'!E63,'Космонавтов 11'!E63,'Утес'!E63)</f>
        <v/>
      </c>
      <c r="F63" s="7">
        <f>SUM('Твоя Привелегия'!F63,'Исеть Парк'!F63,'Космонавтов 11'!F63,'Утес'!F63)</f>
        <v/>
      </c>
      <c r="G63" s="7">
        <f>SUM('Твоя Привелегия'!G63,'Исеть Парк'!G63,'Космонавтов 11'!G63,'Утес'!G63)</f>
        <v/>
      </c>
      <c r="H63" s="7">
        <f>SUM('Твоя Привелегия'!H63,'Исеть Парк'!H63,'Космонавтов 11'!H63,'Утес'!H63)</f>
        <v/>
      </c>
      <c r="I63" s="7">
        <f>SUM('Твоя Привелегия'!I63,'Исеть Парк'!I63,'Космонавтов 11'!I63,'Утес'!I63)</f>
        <v/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SUM('Твоя Привелегия'!B64,'Исеть Парк'!B64,'Космонавтов 11'!B64,'Утес'!B64)</f>
        <v/>
      </c>
      <c r="C64" s="7">
        <f>SUM('Твоя Привелегия'!C64,'Исеть Парк'!C64,'Космонавтов 11'!C64,'Утес'!C64)</f>
        <v/>
      </c>
      <c r="D64" s="7">
        <f>SUM('Твоя Привелегия'!D64,'Исеть Парк'!D64,'Космонавтов 11'!D64,'Утес'!D64)</f>
        <v/>
      </c>
      <c r="E64" s="7">
        <f>SUM('Твоя Привелегия'!E64,'Исеть Парк'!E64,'Космонавтов 11'!E64,'Утес'!E64)</f>
        <v/>
      </c>
      <c r="F64" s="7">
        <f>SUM('Твоя Привелегия'!F64,'Исеть Парк'!F64,'Космонавтов 11'!F64,'Утес'!F64)</f>
        <v/>
      </c>
      <c r="G64" s="7">
        <f>SUM('Твоя Привелегия'!G64,'Исеть Парк'!G64,'Космонавтов 11'!G64,'Утес'!G64)</f>
        <v/>
      </c>
      <c r="H64" s="7">
        <f>SUM('Твоя Привелегия'!H64,'Исеть Парк'!H64,'Космонавтов 11'!H64,'Утес'!H64)</f>
        <v/>
      </c>
      <c r="I64" s="7">
        <f>SUM('Твоя Привелегия'!I64,'Исеть Парк'!I64,'Космонавтов 11'!I64,'Утес'!I64)</f>
        <v/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SUM('Твоя Привелегия'!B65,'Исеть Парк'!B65,'Космонавтов 11'!B65,'Утес'!B65)</f>
        <v/>
      </c>
      <c r="C65" s="7">
        <f>SUM('Твоя Привелегия'!C65,'Исеть Парк'!C65,'Космонавтов 11'!C65,'Утес'!C65)</f>
        <v/>
      </c>
      <c r="D65" s="7">
        <f>SUM('Твоя Привелегия'!D65,'Исеть Парк'!D65,'Космонавтов 11'!D65,'Утес'!D65)</f>
        <v/>
      </c>
      <c r="E65" s="7">
        <f>SUM('Твоя Привелегия'!E65,'Исеть Парк'!E65,'Космонавтов 11'!E65,'Утес'!E65)</f>
        <v/>
      </c>
      <c r="F65" s="7">
        <f>SUM('Твоя Привелегия'!F65,'Исеть Парк'!F65,'Космонавтов 11'!F65,'Утес'!F65)</f>
        <v/>
      </c>
      <c r="G65" s="7">
        <f>SUM('Твоя Привелегия'!G65,'Исеть Парк'!G65,'Космонавтов 11'!G65,'Утес'!G65)</f>
        <v/>
      </c>
      <c r="H65" s="7">
        <f>SUM('Твоя Привелегия'!H65,'Исеть Парк'!H65,'Космонавтов 11'!H65,'Утес'!H65)</f>
        <v/>
      </c>
      <c r="I65" s="7">
        <f>SUM('Твоя Привелегия'!I65,'Исеть Парк'!I65,'Космонавтов 11'!I65,'Утес'!I65)</f>
        <v/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SUM('Твоя Привелегия'!B66,'Исеть Парк'!B66,'Космонавтов 11'!B66,'Утес'!B66)</f>
        <v/>
      </c>
      <c r="C66" s="7">
        <f>SUM('Твоя Привелегия'!C66,'Исеть Парк'!C66,'Космонавтов 11'!C66,'Утес'!C66)</f>
        <v/>
      </c>
      <c r="D66" s="7">
        <f>SUM('Твоя Привелегия'!D66,'Исеть Парк'!D66,'Космонавтов 11'!D66,'Утес'!D66)</f>
        <v/>
      </c>
      <c r="E66" s="7">
        <f>SUM('Твоя Привелегия'!E66,'Исеть Парк'!E66,'Космонавтов 11'!E66,'Утес'!E66)</f>
        <v/>
      </c>
      <c r="F66" s="7">
        <f>SUM('Твоя Привелегия'!F66,'Исеть Парк'!F66,'Космонавтов 11'!F66,'Утес'!F66)</f>
        <v/>
      </c>
      <c r="G66" s="7">
        <f>SUM('Твоя Привелегия'!G66,'Исеть Парк'!G66,'Космонавтов 11'!G66,'Утес'!G66)</f>
        <v/>
      </c>
      <c r="H66" s="7">
        <f>SUM('Твоя Привелегия'!H66,'Исеть Парк'!H66,'Космонавтов 11'!H66,'Утес'!H66)</f>
        <v/>
      </c>
      <c r="I66" s="7">
        <f>SUM('Твоя Привелегия'!I66,'Исеть Парк'!I66,'Космонавтов 11'!I66,'Утес'!I66)</f>
        <v/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SUM('Твоя Привелегия'!B67,'Исеть Парк'!B67,'Космонавтов 11'!B67,'Утес'!B67)</f>
        <v/>
      </c>
      <c r="C67" s="7">
        <f>SUM('Твоя Привелегия'!C67,'Исеть Парк'!C67,'Космонавтов 11'!C67,'Утес'!C67)</f>
        <v/>
      </c>
      <c r="D67" s="7">
        <f>SUM('Твоя Привелегия'!D67,'Исеть Парк'!D67,'Космонавтов 11'!D67,'Утес'!D67)</f>
        <v/>
      </c>
      <c r="E67" s="7">
        <f>SUM('Твоя Привелегия'!E67,'Исеть Парк'!E67,'Космонавтов 11'!E67,'Утес'!E67)</f>
        <v/>
      </c>
      <c r="F67" s="7">
        <f>SUM('Твоя Привелегия'!F67,'Исеть Парк'!F67,'Космонавтов 11'!F67,'Утес'!F67)</f>
        <v/>
      </c>
      <c r="G67" s="7">
        <f>SUM('Твоя Привелегия'!G67,'Исеть Парк'!G67,'Космонавтов 11'!G67,'Утес'!G67)</f>
        <v/>
      </c>
      <c r="H67" s="7">
        <f>SUM('Твоя Привелегия'!H67,'Исеть Парк'!H67,'Космонавтов 11'!H67,'Утес'!H67)</f>
        <v/>
      </c>
      <c r="I67" s="7">
        <f>SUM('Твоя Привелегия'!I67,'Исеть Парк'!I67,'Космонавтов 11'!I67,'Утес'!I67)</f>
        <v/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SUM('Твоя Привелегия'!B68,'Исеть Парк'!B68,'Космонавтов 11'!B68,'Утес'!B68)</f>
        <v/>
      </c>
      <c r="C68" s="7">
        <f>SUM('Твоя Привелегия'!C68,'Исеть Парк'!C68,'Космонавтов 11'!C68,'Утес'!C68)</f>
        <v/>
      </c>
      <c r="D68" s="7">
        <f>SUM('Твоя Привелегия'!D68,'Исеть Парк'!D68,'Космонавтов 11'!D68,'Утес'!D68)</f>
        <v/>
      </c>
      <c r="E68" s="7">
        <f>SUM('Твоя Привелегия'!E68,'Исеть Парк'!E68,'Космонавтов 11'!E68,'Утес'!E68)</f>
        <v/>
      </c>
      <c r="F68" s="7">
        <f>SUM('Твоя Привелегия'!F68,'Исеть Парк'!F68,'Космонавтов 11'!F68,'Утес'!F68)</f>
        <v/>
      </c>
      <c r="G68" s="7">
        <f>SUM('Твоя Привелегия'!G68,'Исеть Парк'!G68,'Космонавтов 11'!G68,'Утес'!G68)</f>
        <v/>
      </c>
      <c r="H68" s="7">
        <f>SUM('Твоя Привелегия'!H68,'Исеть Парк'!H68,'Космонавтов 11'!H68,'Утес'!H68)</f>
        <v/>
      </c>
      <c r="I68" s="7">
        <f>SUM('Твоя Привелегия'!I68,'Исеть Парк'!I68,'Космонавтов 11'!I68,'Утес'!I68)</f>
        <v/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SUM('Твоя Привелегия'!B69,'Исеть Парк'!B69,'Космонавтов 11'!B69,'Утес'!B69)</f>
        <v/>
      </c>
      <c r="C69" s="7">
        <f>SUM('Твоя Привелегия'!C69,'Исеть Парк'!C69,'Космонавтов 11'!C69,'Утес'!C69)</f>
        <v/>
      </c>
      <c r="D69" s="7">
        <f>SUM('Твоя Привелегия'!D69,'Исеть Парк'!D69,'Космонавтов 11'!D69,'Утес'!D69)</f>
        <v/>
      </c>
      <c r="E69" s="7">
        <f>SUM('Твоя Привелегия'!E69,'Исеть Парк'!E69,'Космонавтов 11'!E69,'Утес'!E69)</f>
        <v/>
      </c>
      <c r="F69" s="7">
        <f>SUM('Твоя Привелегия'!F69,'Исеть Парк'!F69,'Космонавтов 11'!F69,'Утес'!F69)</f>
        <v/>
      </c>
      <c r="G69" s="7">
        <f>SUM('Твоя Привелегия'!G69,'Исеть Парк'!G69,'Космонавтов 11'!G69,'Утес'!G69)</f>
        <v/>
      </c>
      <c r="H69" s="7">
        <f>SUM('Твоя Привелегия'!H69,'Исеть Парк'!H69,'Космонавтов 11'!H69,'Утес'!H69)</f>
        <v/>
      </c>
      <c r="I69" s="7">
        <f>SUM('Твоя Привелегия'!I69,'Исеть Парк'!I69,'Космонавтов 11'!I69,'Утес'!I69)</f>
        <v/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SUM('Твоя Привелегия'!B70,'Исеть Парк'!B70,'Космонавтов 11'!B70,'Утес'!B70)</f>
        <v/>
      </c>
      <c r="C70" s="7">
        <f>SUM('Твоя Привелегия'!C70,'Исеть Парк'!C70,'Космонавтов 11'!C70,'Утес'!C70)</f>
        <v/>
      </c>
      <c r="D70" s="7">
        <f>SUM('Твоя Привелегия'!D70,'Исеть Парк'!D70,'Космонавтов 11'!D70,'Утес'!D70)</f>
        <v/>
      </c>
      <c r="E70" s="7">
        <f>SUM('Твоя Привелегия'!E70,'Исеть Парк'!E70,'Космонавтов 11'!E70,'Утес'!E70)</f>
        <v/>
      </c>
      <c r="F70" s="7">
        <f>SUM('Твоя Привелегия'!F70,'Исеть Парк'!F70,'Космонавтов 11'!F70,'Утес'!F70)</f>
        <v/>
      </c>
      <c r="G70" s="7">
        <f>SUM('Твоя Привелегия'!G70,'Исеть Парк'!G70,'Космонавтов 11'!G70,'Утес'!G70)</f>
        <v/>
      </c>
      <c r="H70" s="7">
        <f>SUM('Твоя Привелегия'!H70,'Исеть Парк'!H70,'Космонавтов 11'!H70,'Утес'!H70)</f>
        <v/>
      </c>
      <c r="I70" s="7">
        <f>SUM('Твоя Привелегия'!I70,'Исеть Парк'!I70,'Космонавтов 11'!I70,'Утес'!I70)</f>
        <v/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SUM('Твоя Привелегия'!B71,'Исеть Парк'!B71,'Космонавтов 11'!B71,'Утес'!B71)</f>
        <v/>
      </c>
      <c r="C71" s="7">
        <f>SUM('Твоя Привелегия'!C71,'Исеть Парк'!C71,'Космонавтов 11'!C71,'Утес'!C71)</f>
        <v/>
      </c>
      <c r="D71" s="7">
        <f>SUM('Твоя Привелегия'!D71,'Исеть Парк'!D71,'Космонавтов 11'!D71,'Утес'!D71)</f>
        <v/>
      </c>
      <c r="E71" s="7">
        <f>SUM('Твоя Привелегия'!E71,'Исеть Парк'!E71,'Космонавтов 11'!E71,'Утес'!E71)</f>
        <v/>
      </c>
      <c r="F71" s="7">
        <f>SUM('Твоя Привелегия'!F71,'Исеть Парк'!F71,'Космонавтов 11'!F71,'Утес'!F71)</f>
        <v/>
      </c>
      <c r="G71" s="7">
        <f>SUM('Твоя Привелегия'!G71,'Исеть Парк'!G71,'Космонавтов 11'!G71,'Утес'!G71)</f>
        <v/>
      </c>
      <c r="H71" s="7">
        <f>SUM('Твоя Привелегия'!H71,'Исеть Парк'!H71,'Космонавтов 11'!H71,'Утес'!H71)</f>
        <v/>
      </c>
      <c r="I71" s="7">
        <f>SUM('Твоя Привелегия'!I71,'Исеть Парк'!I71,'Космонавтов 11'!I71,'Утес'!I71)</f>
        <v/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SUM('Твоя Привелегия'!B72,'Исеть Парк'!B72,'Космонавтов 11'!B72,'Утес'!B72)</f>
        <v/>
      </c>
      <c r="C72" s="7">
        <f>SUM('Твоя Привелегия'!C72,'Исеть Парк'!C72,'Космонавтов 11'!C72,'Утес'!C72)</f>
        <v/>
      </c>
      <c r="D72" s="7">
        <f>SUM('Твоя Привелегия'!D72,'Исеть Парк'!D72,'Космонавтов 11'!D72,'Утес'!D72)</f>
        <v/>
      </c>
      <c r="E72" s="7">
        <f>SUM('Твоя Привелегия'!E72,'Исеть Парк'!E72,'Космонавтов 11'!E72,'Утес'!E72)</f>
        <v/>
      </c>
      <c r="F72" s="7">
        <f>SUM('Твоя Привелегия'!F72,'Исеть Парк'!F72,'Космонавтов 11'!F72,'Утес'!F72)</f>
        <v/>
      </c>
      <c r="G72" s="7">
        <f>SUM('Твоя Привелегия'!G72,'Исеть Парк'!G72,'Космонавтов 11'!G72,'Утес'!G72)</f>
        <v/>
      </c>
      <c r="H72" s="7">
        <f>SUM('Твоя Привелегия'!H72,'Исеть Парк'!H72,'Космонавтов 11'!H72,'Утес'!H72)</f>
        <v/>
      </c>
      <c r="I72" s="7">
        <f>SUM('Твоя Привелегия'!I72,'Исеть Парк'!I72,'Космонавтов 11'!I72,'Утес'!I72)</f>
        <v/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SUM('Твоя Привелегия'!B73,'Исеть Парк'!B73,'Космонавтов 11'!B73,'Утес'!B73)</f>
        <v/>
      </c>
      <c r="C73" s="7">
        <f>SUM('Твоя Привелегия'!C73,'Исеть Парк'!C73,'Космонавтов 11'!C73,'Утес'!C73)</f>
        <v/>
      </c>
      <c r="D73" s="7">
        <f>SUM('Твоя Привелегия'!D73,'Исеть Парк'!D73,'Космонавтов 11'!D73,'Утес'!D73)</f>
        <v/>
      </c>
      <c r="E73" s="7">
        <f>SUM('Твоя Привелегия'!E73,'Исеть Парк'!E73,'Космонавтов 11'!E73,'Утес'!E73)</f>
        <v/>
      </c>
      <c r="F73" s="7">
        <f>SUM('Твоя Привелегия'!F73,'Исеть Парк'!F73,'Космонавтов 11'!F73,'Утес'!F73)</f>
        <v/>
      </c>
      <c r="G73" s="7">
        <f>SUM('Твоя Привелегия'!G73,'Исеть Парк'!G73,'Космонавтов 11'!G73,'Утес'!G73)</f>
        <v/>
      </c>
      <c r="H73" s="7">
        <f>SUM('Твоя Привелегия'!H73,'Исеть Парк'!H73,'Космонавтов 11'!H73,'Утес'!H73)</f>
        <v/>
      </c>
      <c r="I73" s="7">
        <f>SUM('Твоя Привелегия'!I73,'Исеть Парк'!I73,'Космонавтов 11'!I73,'Утес'!I73)</f>
        <v/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SUM('Твоя Привелегия'!B74,'Исеть Парк'!B74,'Космонавтов 11'!B74,'Утес'!B74)</f>
        <v/>
      </c>
      <c r="C74" s="7">
        <f>SUM('Твоя Привелегия'!C74,'Исеть Парк'!C74,'Космонавтов 11'!C74,'Утес'!C74)</f>
        <v/>
      </c>
      <c r="D74" s="7">
        <f>SUM('Твоя Привелегия'!D74,'Исеть Парк'!D74,'Космонавтов 11'!D74,'Утес'!D74)</f>
        <v/>
      </c>
      <c r="E74" s="7">
        <f>SUM('Твоя Привелегия'!E74,'Исеть Парк'!E74,'Космонавтов 11'!E74,'Утес'!E74)</f>
        <v/>
      </c>
      <c r="F74" s="7">
        <f>SUM('Твоя Привелегия'!F74,'Исеть Парк'!F74,'Космонавтов 11'!F74,'Утес'!F74)</f>
        <v/>
      </c>
      <c r="G74" s="7">
        <f>SUM('Твоя Привелегия'!G74,'Исеть Парк'!G74,'Космонавтов 11'!G74,'Утес'!G74)</f>
        <v/>
      </c>
      <c r="H74" s="7">
        <f>SUM('Твоя Привелегия'!H74,'Исеть Парк'!H74,'Космонавтов 11'!H74,'Утес'!H74)</f>
        <v/>
      </c>
      <c r="I74" s="7">
        <f>SUM('Твоя Привелегия'!I74,'Исеть Парк'!I74,'Космонавтов 11'!I74,'Утес'!I74)</f>
        <v/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SUM('Твоя Привелегия'!B75,'Исеть Парк'!B75,'Космонавтов 11'!B75,'Утес'!B75)</f>
        <v/>
      </c>
      <c r="C75" s="7">
        <f>SUM('Твоя Привелегия'!C75,'Исеть Парк'!C75,'Космонавтов 11'!C75,'Утес'!C75)</f>
        <v/>
      </c>
      <c r="D75" s="7">
        <f>SUM('Твоя Привелегия'!D75,'Исеть Парк'!D75,'Космонавтов 11'!D75,'Утес'!D75)</f>
        <v/>
      </c>
      <c r="E75" s="7">
        <f>SUM('Твоя Привелегия'!E75,'Исеть Парк'!E75,'Космонавтов 11'!E75,'Утес'!E75)</f>
        <v/>
      </c>
      <c r="F75" s="7">
        <f>SUM('Твоя Привелегия'!F75,'Исеть Парк'!F75,'Космонавтов 11'!F75,'Утес'!F75)</f>
        <v/>
      </c>
      <c r="G75" s="7">
        <f>SUM('Твоя Привелегия'!G75,'Исеть Парк'!G75,'Космонавтов 11'!G75,'Утес'!G75)</f>
        <v/>
      </c>
      <c r="H75" s="7">
        <f>SUM('Твоя Привелегия'!H75,'Исеть Парк'!H75,'Космонавтов 11'!H75,'Утес'!H75)</f>
        <v/>
      </c>
      <c r="I75" s="7">
        <f>SUM('Твоя Привелегия'!I75,'Исеть Парк'!I75,'Космонавтов 11'!I75,'Утес'!I75)</f>
        <v/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SUM('Твоя Привелегия'!B76,'Исеть Парк'!B76,'Космонавтов 11'!B76,'Утес'!B76)</f>
        <v/>
      </c>
      <c r="C76" s="7">
        <f>SUM('Твоя Привелегия'!C76,'Исеть Парк'!C76,'Космонавтов 11'!C76,'Утес'!C76)</f>
        <v/>
      </c>
      <c r="D76" s="7">
        <f>SUM('Твоя Привелегия'!D76,'Исеть Парк'!D76,'Космонавтов 11'!D76,'Утес'!D76)</f>
        <v/>
      </c>
      <c r="E76" s="7">
        <f>SUM('Твоя Привелегия'!E76,'Исеть Парк'!E76,'Космонавтов 11'!E76,'Утес'!E76)</f>
        <v/>
      </c>
      <c r="F76" s="7">
        <f>SUM('Твоя Привелегия'!F76,'Исеть Парк'!F76,'Космонавтов 11'!F76,'Утес'!F76)</f>
        <v/>
      </c>
      <c r="G76" s="7">
        <f>SUM('Твоя Привелегия'!G76,'Исеть Парк'!G76,'Космонавтов 11'!G76,'Утес'!G76)</f>
        <v/>
      </c>
      <c r="H76" s="7">
        <f>SUM('Твоя Привелегия'!H76,'Исеть Парк'!H76,'Космонавтов 11'!H76,'Утес'!H76)</f>
        <v/>
      </c>
      <c r="I76" s="7">
        <f>SUM('Твоя Привелегия'!I76,'Исеть Парк'!I76,'Космонавтов 11'!I76,'Утес'!I76)</f>
        <v/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SUM('Твоя Привелегия'!B77,'Исеть Парк'!B77,'Космонавтов 11'!B77,'Утес'!B77)</f>
        <v/>
      </c>
      <c r="C77" s="7">
        <f>SUM('Твоя Привелегия'!C77,'Исеть Парк'!C77,'Космонавтов 11'!C77,'Утес'!C77)</f>
        <v/>
      </c>
      <c r="D77" s="7">
        <f>SUM('Твоя Привелегия'!D77,'Исеть Парк'!D77,'Космонавтов 11'!D77,'Утес'!D77)</f>
        <v/>
      </c>
      <c r="E77" s="7">
        <f>SUM('Твоя Привелегия'!E77,'Исеть Парк'!E77,'Космонавтов 11'!E77,'Утес'!E77)</f>
        <v/>
      </c>
      <c r="F77" s="7">
        <f>SUM('Твоя Привелегия'!F77,'Исеть Парк'!F77,'Космонавтов 11'!F77,'Утес'!F77)</f>
        <v/>
      </c>
      <c r="G77" s="7">
        <f>SUM('Твоя Привелегия'!G77,'Исеть Парк'!G77,'Космонавтов 11'!G77,'Утес'!G77)</f>
        <v/>
      </c>
      <c r="H77" s="7">
        <f>SUM('Твоя Привелегия'!H77,'Исеть Парк'!H77,'Космонавтов 11'!H77,'Утес'!H77)</f>
        <v/>
      </c>
      <c r="I77" s="7">
        <f>SUM('Твоя Привелегия'!I77,'Исеть Парк'!I77,'Космонавтов 11'!I77,'Утес'!I77)</f>
        <v/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SUM('Твоя Привелегия'!B78,'Исеть Парк'!B78,'Космонавтов 11'!B78,'Утес'!B78)</f>
        <v/>
      </c>
      <c r="C78" s="7">
        <f>SUM('Твоя Привелегия'!C78,'Исеть Парк'!C78,'Космонавтов 11'!C78,'Утес'!C78)</f>
        <v/>
      </c>
      <c r="D78" s="7">
        <f>SUM('Твоя Привелегия'!D78,'Исеть Парк'!D78,'Космонавтов 11'!D78,'Утес'!D78)</f>
        <v/>
      </c>
      <c r="E78" s="7">
        <f>SUM('Твоя Привелегия'!E78,'Исеть Парк'!E78,'Космонавтов 11'!E78,'Утес'!E78)</f>
        <v/>
      </c>
      <c r="F78" s="7">
        <f>SUM('Твоя Привелегия'!F78,'Исеть Парк'!F78,'Космонавтов 11'!F78,'Утес'!F78)</f>
        <v/>
      </c>
      <c r="G78" s="7">
        <f>SUM('Твоя Привелегия'!G78,'Исеть Парк'!G78,'Космонавтов 11'!G78,'Утес'!G78)</f>
        <v/>
      </c>
      <c r="H78" s="7">
        <f>SUM('Твоя Привелегия'!H78,'Исеть Парк'!H78,'Космонавтов 11'!H78,'Утес'!H78)</f>
        <v/>
      </c>
      <c r="I78" s="7">
        <f>SUM('Твоя Привелегия'!I78,'Исеть Парк'!I78,'Космонавтов 11'!I78,'Утес'!I78)</f>
        <v/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SUM('Твоя Привелегия'!B79,'Исеть Парк'!B79,'Космонавтов 11'!B79,'Утес'!B79)</f>
        <v/>
      </c>
      <c r="C79" s="7">
        <f>SUM('Твоя Привелегия'!C79,'Исеть Парк'!C79,'Космонавтов 11'!C79,'Утес'!C79)</f>
        <v/>
      </c>
      <c r="D79" s="7">
        <f>SUM('Твоя Привелегия'!D79,'Исеть Парк'!D79,'Космонавтов 11'!D79,'Утес'!D79)</f>
        <v/>
      </c>
      <c r="E79" s="7">
        <f>SUM('Твоя Привелегия'!E79,'Исеть Парк'!E79,'Космонавтов 11'!E79,'Утес'!E79)</f>
        <v/>
      </c>
      <c r="F79" s="7">
        <f>SUM('Твоя Привелегия'!F79,'Исеть Парк'!F79,'Космонавтов 11'!F79,'Утес'!F79)</f>
        <v/>
      </c>
      <c r="G79" s="7">
        <f>SUM('Твоя Привелегия'!G79,'Исеть Парк'!G79,'Космонавтов 11'!G79,'Утес'!G79)</f>
        <v/>
      </c>
      <c r="H79" s="7">
        <f>SUM('Твоя Привелегия'!H79,'Исеть Парк'!H79,'Космонавтов 11'!H79,'Утес'!H79)</f>
        <v/>
      </c>
      <c r="I79" s="7">
        <f>SUM('Твоя Привелегия'!I79,'Исеть Парк'!I79,'Космонавтов 11'!I79,'Утес'!I79)</f>
        <v/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IF(B4=0,"-",B80/B4)</f>
        <v/>
      </c>
      <c r="C81" s="10">
        <f>IF(C4=0,"-",C80/C4)</f>
        <v/>
      </c>
      <c r="D81" s="10">
        <f>IF(D4=0,"-",D80/D4)</f>
        <v/>
      </c>
      <c r="E81" s="10">
        <f>IF(E4=0,"-",E80/E4)</f>
        <v/>
      </c>
      <c r="F81" s="10">
        <f>IF(F4=0,"-",F80/F4)</f>
        <v/>
      </c>
      <c r="G81" s="10">
        <f>IF(G4=0,"-",G80/G4)</f>
        <v/>
      </c>
      <c r="H81" s="10">
        <f>IF(H4=0,"-",H80/H4)</f>
        <v/>
      </c>
      <c r="I81" s="10">
        <f>IF(I4=0,"-",I80/I4)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SUM('Твоя Привелегия'!B83,'Исеть Парк'!B83,'Космонавтов 11'!B83,'Утес'!B83)</f>
        <v/>
      </c>
      <c r="C83" s="7">
        <f>SUM('Твоя Привелегия'!C83,'Исеть Парк'!C83,'Космонавтов 11'!C83,'Утес'!C83)</f>
        <v/>
      </c>
      <c r="D83" s="7">
        <f>SUM('Твоя Привелегия'!D83,'Исеть Парк'!D83,'Космонавтов 11'!D83,'Утес'!D83)</f>
        <v/>
      </c>
      <c r="E83" s="7">
        <f>SUM('Твоя Привелегия'!E83,'Исеть Парк'!E83,'Космонавтов 11'!E83,'Утес'!E83)</f>
        <v/>
      </c>
      <c r="F83" s="7">
        <f>SUM('Твоя Привелегия'!F83,'Исеть Парк'!F83,'Космонавтов 11'!F83,'Утес'!F83)</f>
        <v/>
      </c>
      <c r="G83" s="7">
        <f>SUM('Твоя Привелегия'!G83,'Исеть Парк'!G83,'Космонавтов 11'!G83,'Утес'!G83)</f>
        <v/>
      </c>
      <c r="H83" s="7">
        <f>SUM('Твоя Привелегия'!H83,'Исеть Парк'!H83,'Космонавтов 11'!H83,'Утес'!H83)</f>
        <v/>
      </c>
      <c r="I83" s="7">
        <f>SUM('Твоя Привелегия'!I83,'Исеть Парк'!I83,'Космонавтов 11'!I83,'Утес'!I83)</f>
        <v/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SUM('Твоя Привелегия'!B84,'Исеть Парк'!B84,'Космонавтов 11'!B84,'Утес'!B84)</f>
        <v/>
      </c>
      <c r="C84" s="7">
        <f>SUM('Твоя Привелегия'!C84,'Исеть Парк'!C84,'Космонавтов 11'!C84,'Утес'!C84)</f>
        <v/>
      </c>
      <c r="D84" s="7">
        <f>SUM('Твоя Привелегия'!D84,'Исеть Парк'!D84,'Космонавтов 11'!D84,'Утес'!D84)</f>
        <v/>
      </c>
      <c r="E84" s="7">
        <f>SUM('Твоя Привелегия'!E84,'Исеть Парк'!E84,'Космонавтов 11'!E84,'Утес'!E84)</f>
        <v/>
      </c>
      <c r="F84" s="7">
        <f>SUM('Твоя Привелегия'!F84,'Исеть Парк'!F84,'Космонавтов 11'!F84,'Утес'!F84)</f>
        <v/>
      </c>
      <c r="G84" s="7">
        <f>SUM('Твоя Привелегия'!G84,'Исеть Парк'!G84,'Космонавтов 11'!G84,'Утес'!G84)</f>
        <v/>
      </c>
      <c r="H84" s="7">
        <f>SUM('Твоя Привелегия'!H84,'Исеть Парк'!H84,'Космонавтов 11'!H84,'Утес'!H84)</f>
        <v/>
      </c>
      <c r="I84" s="7">
        <f>SUM('Твоя Привелегия'!I84,'Исеть Парк'!I84,'Космонавтов 11'!I84,'Утес'!I84)</f>
        <v/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SUM('Твоя Привелегия'!B85,'Исеть Парк'!B85,'Космонавтов 11'!B85,'Утес'!B85)</f>
        <v/>
      </c>
      <c r="C85" s="7">
        <f>SUM('Твоя Привелегия'!C85,'Исеть Парк'!C85,'Космонавтов 11'!C85,'Утес'!C85)</f>
        <v/>
      </c>
      <c r="D85" s="7">
        <f>SUM('Твоя Привелегия'!D85,'Исеть Парк'!D85,'Космонавтов 11'!D85,'Утес'!D85)</f>
        <v/>
      </c>
      <c r="E85" s="7">
        <f>SUM('Твоя Привелегия'!E85,'Исеть Парк'!E85,'Космонавтов 11'!E85,'Утес'!E85)</f>
        <v/>
      </c>
      <c r="F85" s="7">
        <f>SUM('Твоя Привелегия'!F85,'Исеть Парк'!F85,'Космонавтов 11'!F85,'Утес'!F85)</f>
        <v/>
      </c>
      <c r="G85" s="7">
        <f>SUM('Твоя Привелегия'!G85,'Исеть Парк'!G85,'Космонавтов 11'!G85,'Утес'!G85)</f>
        <v/>
      </c>
      <c r="H85" s="7">
        <f>SUM('Твоя Привелегия'!H85,'Исеть Парк'!H85,'Космонавтов 11'!H85,'Утес'!H85)</f>
        <v/>
      </c>
      <c r="I85" s="7">
        <f>SUM('Твоя Привелегия'!I85,'Исеть Парк'!I85,'Космонавтов 11'!I85,'Утес'!I85)</f>
        <v/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SUM('Твоя Привелегия'!B86,'Исеть Парк'!B86,'Космонавтов 11'!B86,'Утес'!B86)</f>
        <v/>
      </c>
      <c r="C86" s="7">
        <f>SUM('Твоя Привелегия'!C86,'Исеть Парк'!C86,'Космонавтов 11'!C86,'Утес'!C86)</f>
        <v/>
      </c>
      <c r="D86" s="7">
        <f>SUM('Твоя Привелегия'!D86,'Исеть Парк'!D86,'Космонавтов 11'!D86,'Утес'!D86)</f>
        <v/>
      </c>
      <c r="E86" s="7">
        <f>SUM('Твоя Привелегия'!E86,'Исеть Парк'!E86,'Космонавтов 11'!E86,'Утес'!E86)</f>
        <v/>
      </c>
      <c r="F86" s="7">
        <f>SUM('Твоя Привелегия'!F86,'Исеть Парк'!F86,'Космонавтов 11'!F86,'Утес'!F86)</f>
        <v/>
      </c>
      <c r="G86" s="7">
        <f>SUM('Твоя Привелегия'!G86,'Исеть Парк'!G86,'Космонавтов 11'!G86,'Утес'!G86)</f>
        <v/>
      </c>
      <c r="H86" s="7">
        <f>SUM('Твоя Привелегия'!H86,'Исеть Парк'!H86,'Космонавтов 11'!H86,'Утес'!H86)</f>
        <v/>
      </c>
      <c r="I86" s="7">
        <f>SUM('Твоя Привелегия'!I86,'Исеть Парк'!I86,'Космонавтов 11'!I86,'Утес'!I86)</f>
        <v/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SUM('Твоя Привелегия'!B88,'Исеть Парк'!B88,'Космонавтов 11'!B88,'Утес'!B88)</f>
        <v/>
      </c>
      <c r="C88" s="7">
        <f>SUM('Твоя Привелегия'!C88,'Исеть Парк'!C88,'Космонавтов 11'!C88,'Утес'!C88)</f>
        <v/>
      </c>
      <c r="D88" s="7">
        <f>SUM('Твоя Привелегия'!D88,'Исеть Парк'!D88,'Космонавтов 11'!D88,'Утес'!D88)</f>
        <v/>
      </c>
      <c r="E88" s="7">
        <f>SUM('Твоя Привелегия'!E88,'Исеть Парк'!E88,'Космонавтов 11'!E88,'Утес'!E88)</f>
        <v/>
      </c>
      <c r="F88" s="7">
        <f>SUM('Твоя Привелегия'!F88,'Исеть Парк'!F88,'Космонавтов 11'!F88,'Утес'!F88)</f>
        <v/>
      </c>
      <c r="G88" s="7">
        <f>SUM('Твоя Привелегия'!G88,'Исеть Парк'!G88,'Космонавтов 11'!G88,'Утес'!G88)</f>
        <v/>
      </c>
      <c r="H88" s="7">
        <f>SUM('Твоя Привелегия'!H88,'Исеть Парк'!H88,'Космонавтов 11'!H88,'Утес'!H88)</f>
        <v/>
      </c>
      <c r="I88" s="7">
        <f>SUM('Твоя Привелегия'!I88,'Исеть Парк'!I88,'Космонавтов 11'!I88,'Утес'!I88)</f>
        <v/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B80+B82-B87</f>
        <v/>
      </c>
      <c r="C89" s="9">
        <f>C80+C82-C87</f>
        <v/>
      </c>
      <c r="D89" s="9">
        <f>D80+D82-D87</f>
        <v/>
      </c>
      <c r="E89" s="9">
        <f>E80+E82-E87</f>
        <v/>
      </c>
      <c r="F89" s="9">
        <f>F80+F82-F87</f>
        <v/>
      </c>
      <c r="G89" s="9">
        <f>G80+G82-G87</f>
        <v/>
      </c>
      <c r="H89" s="9">
        <f>H80+H82-H87</f>
        <v/>
      </c>
      <c r="I89" s="9">
        <f>I80+I82-I87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IF(B4=0,"-",B89/B4)</f>
        <v/>
      </c>
      <c r="C90" s="10">
        <f>IF(C4=0,"-",C89/C4)</f>
        <v/>
      </c>
      <c r="D90" s="10">
        <f>IF(D4=0,"-",D89/D4)</f>
        <v/>
      </c>
      <c r="E90" s="10">
        <f>IF(E4=0,"-",E89/E4)</f>
        <v/>
      </c>
      <c r="F90" s="10">
        <f>IF(F4=0,"-",F89/F4)</f>
        <v/>
      </c>
      <c r="G90" s="10">
        <f>IF(G4=0,"-",G89/G4)</f>
        <v/>
      </c>
      <c r="H90" s="10">
        <f>IF(H4=0,"-",H89/H4)</f>
        <v/>
      </c>
      <c r="I90" s="10">
        <f>IF(I4=0,"-",I89/I4)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SUM('Твоя Привелегия'!B92,'Исеть Парк'!B92,'Космонавтов 11'!B92,'Утес'!B92)</f>
        <v/>
      </c>
      <c r="C92" s="7">
        <f>SUM('Твоя Привелегия'!C92,'Исеть Парк'!C92,'Космонавтов 11'!C92,'Утес'!C92)</f>
        <v/>
      </c>
      <c r="D92" s="7">
        <f>SUM('Твоя Привелегия'!D92,'Исеть Парк'!D92,'Космонавтов 11'!D92,'Утес'!D92)</f>
        <v/>
      </c>
      <c r="E92" s="7">
        <f>SUM('Твоя Привелегия'!E92,'Исеть Парк'!E92,'Космонавтов 11'!E92,'Утес'!E92)</f>
        <v/>
      </c>
      <c r="F92" s="7">
        <f>SUM('Твоя Привелегия'!F92,'Исеть Парк'!F92,'Космонавтов 11'!F92,'Утес'!F92)</f>
        <v/>
      </c>
      <c r="G92" s="7">
        <f>SUM('Твоя Привелегия'!G92,'Исеть Парк'!G92,'Космонавтов 11'!G92,'Утес'!G92)</f>
        <v/>
      </c>
      <c r="H92" s="7">
        <f>SUM('Твоя Привелегия'!H92,'Исеть Парк'!H92,'Космонавтов 11'!H92,'Утес'!H92)</f>
        <v/>
      </c>
      <c r="I92" s="7">
        <f>SUM('Твоя Привелегия'!I92,'Исеть Парк'!I92,'Космонавтов 11'!I92,'Утес'!I92)</f>
        <v/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SUM('Твоя Привелегия'!B93,'Исеть Парк'!B93,'Космонавтов 11'!B93,'Утес'!B93)</f>
        <v/>
      </c>
      <c r="C93" s="7">
        <f>SUM('Твоя Привелегия'!C93,'Исеть Парк'!C93,'Космонавтов 11'!C93,'Утес'!C93)</f>
        <v/>
      </c>
      <c r="D93" s="7">
        <f>SUM('Твоя Привелегия'!D93,'Исеть Парк'!D93,'Космонавтов 11'!D93,'Утес'!D93)</f>
        <v/>
      </c>
      <c r="E93" s="7">
        <f>SUM('Твоя Привелегия'!E93,'Исеть Парк'!E93,'Космонавтов 11'!E93,'Утес'!E93)</f>
        <v/>
      </c>
      <c r="F93" s="7">
        <f>SUM('Твоя Привелегия'!F93,'Исеть Парк'!F93,'Космонавтов 11'!F93,'Утес'!F93)</f>
        <v/>
      </c>
      <c r="G93" s="7">
        <f>SUM('Твоя Привелегия'!G93,'Исеть Парк'!G93,'Космонавтов 11'!G93,'Утес'!G93)</f>
        <v/>
      </c>
      <c r="H93" s="7">
        <f>SUM('Твоя Привелегия'!H93,'Исеть Парк'!H93,'Космонавтов 11'!H93,'Утес'!H93)</f>
        <v/>
      </c>
      <c r="I93" s="7">
        <f>SUM('Твоя Привелегия'!I93,'Исеть Парк'!I93,'Космонавтов 11'!I93,'Утес'!I93)</f>
        <v/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SUM('Твоя Привелегия'!B94,'Исеть Парк'!B94,'Космонавтов 11'!B94,'Утес'!B94)</f>
        <v/>
      </c>
      <c r="C94" s="7">
        <f>SUM('Твоя Привелегия'!C94,'Исеть Парк'!C94,'Космонавтов 11'!C94,'Утес'!C94)</f>
        <v/>
      </c>
      <c r="D94" s="7">
        <f>SUM('Твоя Привелегия'!D94,'Исеть Парк'!D94,'Космонавтов 11'!D94,'Утес'!D94)</f>
        <v/>
      </c>
      <c r="E94" s="7">
        <f>SUM('Твоя Привелегия'!E94,'Исеть Парк'!E94,'Космонавтов 11'!E94,'Утес'!E94)</f>
        <v/>
      </c>
      <c r="F94" s="7">
        <f>SUM('Твоя Привелегия'!F94,'Исеть Парк'!F94,'Космонавтов 11'!F94,'Утес'!F94)</f>
        <v/>
      </c>
      <c r="G94" s="7">
        <f>SUM('Твоя Привелегия'!G94,'Исеть Парк'!G94,'Космонавтов 11'!G94,'Утес'!G94)</f>
        <v/>
      </c>
      <c r="H94" s="7">
        <f>SUM('Твоя Привелегия'!H94,'Исеть Парк'!H94,'Космонавтов 11'!H94,'Утес'!H94)</f>
        <v/>
      </c>
      <c r="I94" s="7">
        <f>SUM('Твоя Привелегия'!I94,'Исеть Парк'!I94,'Космонавтов 11'!I94,'Утес'!I94)</f>
        <v/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SUM('Твоя Привелегия'!B96,'Исеть Парк'!B96,'Космонавтов 11'!B96,'Утес'!B96)</f>
        <v/>
      </c>
      <c r="C96" s="7">
        <f>SUM('Твоя Привелегия'!C96,'Исеть Парк'!C96,'Космонавтов 11'!C96,'Утес'!C96)</f>
        <v/>
      </c>
      <c r="D96" s="7">
        <f>SUM('Твоя Привелегия'!D96,'Исеть Парк'!D96,'Космонавтов 11'!D96,'Утес'!D96)</f>
        <v/>
      </c>
      <c r="E96" s="7">
        <f>SUM('Твоя Привелегия'!E96,'Исеть Парк'!E96,'Космонавтов 11'!E96,'Утес'!E96)</f>
        <v/>
      </c>
      <c r="F96" s="7">
        <f>SUM('Твоя Привелегия'!F96,'Исеть Парк'!F96,'Космонавтов 11'!F96,'Утес'!F96)</f>
        <v/>
      </c>
      <c r="G96" s="7">
        <f>SUM('Твоя Привелегия'!G96,'Исеть Парк'!G96,'Космонавтов 11'!G96,'Утес'!G96)</f>
        <v/>
      </c>
      <c r="H96" s="7">
        <f>SUM('Твоя Привелегия'!H96,'Исеть Парк'!H96,'Космонавтов 11'!H96,'Утес'!H96)</f>
        <v/>
      </c>
      <c r="I96" s="7">
        <f>SUM('Твоя Привелегия'!I96,'Исеть Парк'!I96,'Космонавтов 11'!I96,'Утес'!I96)</f>
        <v/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SUM('Твоя Привелегия'!B97,'Исеть Парк'!B97,'Космонавтов 11'!B97,'Утес'!B97)</f>
        <v/>
      </c>
      <c r="C97" s="7">
        <f>SUM('Твоя Привелегия'!C97,'Исеть Парк'!C97,'Космонавтов 11'!C97,'Утес'!C97)</f>
        <v/>
      </c>
      <c r="D97" s="7">
        <f>SUM('Твоя Привелегия'!D97,'Исеть Парк'!D97,'Космонавтов 11'!D97,'Утес'!D97)</f>
        <v/>
      </c>
      <c r="E97" s="7">
        <f>SUM('Твоя Привелегия'!E97,'Исеть Парк'!E97,'Космонавтов 11'!E97,'Утес'!E97)</f>
        <v/>
      </c>
      <c r="F97" s="7">
        <f>SUM('Твоя Привелегия'!F97,'Исеть Парк'!F97,'Космонавтов 11'!F97,'Утес'!F97)</f>
        <v/>
      </c>
      <c r="G97" s="7">
        <f>SUM('Твоя Привелегия'!G97,'Исеть Парк'!G97,'Космонавтов 11'!G97,'Утес'!G97)</f>
        <v/>
      </c>
      <c r="H97" s="7">
        <f>SUM('Твоя Привелегия'!H97,'Исеть Парк'!H97,'Космонавтов 11'!H97,'Утес'!H97)</f>
        <v/>
      </c>
      <c r="I97" s="7">
        <f>SUM('Твоя Привелегия'!I97,'Исеть Парк'!I97,'Космонавтов 11'!I97,'Утес'!I97)</f>
        <v/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B89-B91-B94-B95</f>
        <v/>
      </c>
      <c r="C98" s="9">
        <f>C89-C91-C94-C95</f>
        <v/>
      </c>
      <c r="D98" s="9">
        <f>D89-D91-D94-D95</f>
        <v/>
      </c>
      <c r="E98" s="9">
        <f>E89-E91-E94-E95</f>
        <v/>
      </c>
      <c r="F98" s="9">
        <f>F89-F91-F94-F95</f>
        <v/>
      </c>
      <c r="G98" s="9">
        <f>G89-G91-G94-G95</f>
        <v/>
      </c>
      <c r="H98" s="9">
        <f>H89-H91-H94-H95</f>
        <v/>
      </c>
      <c r="I98" s="9">
        <f>I89-I91-I94-I95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IF(B4=0,"-",B98/B4)</f>
        <v/>
      </c>
      <c r="C99" s="10">
        <f>IF(C4=0,"-",C98/C4)</f>
        <v/>
      </c>
      <c r="D99" s="10">
        <f>IF(D4=0,"-",D98/D4)</f>
        <v/>
      </c>
      <c r="E99" s="10">
        <f>IF(E4=0,"-",E98/E4)</f>
        <v/>
      </c>
      <c r="F99" s="10">
        <f>IF(F4=0,"-",F98/F4)</f>
        <v/>
      </c>
      <c r="G99" s="10">
        <f>IF(G4=0,"-",G98/G4)</f>
        <v/>
      </c>
      <c r="H99" s="10">
        <f>IF(H4=0,"-",H98/H4)</f>
        <v/>
      </c>
      <c r="I99" s="10">
        <f>IF(I4=0,"-",I98/I4)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Твоя Привелегия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3590716.24</v>
      </c>
      <c r="C7" s="7" t="n">
        <v>897679.0600000001</v>
      </c>
      <c r="D7" s="7" t="n">
        <v>897679.0600000001</v>
      </c>
      <c r="E7" s="7" t="n">
        <v>897679.0600000001</v>
      </c>
      <c r="F7" s="7" t="n">
        <v>897679.0600000001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n">
        <v>1080</v>
      </c>
      <c r="C12" s="7" t="n">
        <v>1080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n">
        <v>184000</v>
      </c>
      <c r="C15" s="7" t="n">
        <v>46000</v>
      </c>
      <c r="D15" s="7" t="n">
        <v>46000</v>
      </c>
      <c r="E15" s="7" t="n">
        <v>46000</v>
      </c>
      <c r="F15" s="7" t="n">
        <v>46000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n">
        <v>18000</v>
      </c>
      <c r="C16" s="7" t="n">
        <v>18000</v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32095</v>
      </c>
      <c r="C17" s="7" t="n">
        <v>2095</v>
      </c>
      <c r="D17" s="7" t="n">
        <v>10000</v>
      </c>
      <c r="E17" s="7" t="n">
        <v>10000</v>
      </c>
      <c r="F17" s="7" t="n">
        <v>10000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35435.5</v>
      </c>
      <c r="C18" s="7" t="n">
        <v>5435.5</v>
      </c>
      <c r="D18" s="7" t="n">
        <v>10000</v>
      </c>
      <c r="E18" s="7" t="n">
        <v>10000</v>
      </c>
      <c r="F18" s="7" t="n">
        <v>10000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1040000</v>
      </c>
      <c r="C21" s="7" t="n">
        <v>260000</v>
      </c>
      <c r="D21" s="7" t="n">
        <v>260000</v>
      </c>
      <c r="E21" s="7" t="n">
        <v>260000</v>
      </c>
      <c r="F21" s="7" t="n">
        <v>260000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777600</v>
      </c>
      <c r="C22" s="7" t="n">
        <v>194400</v>
      </c>
      <c r="D22" s="7" t="n">
        <v>194400</v>
      </c>
      <c r="E22" s="7" t="n">
        <v>194400</v>
      </c>
      <c r="F22" s="7" t="n">
        <v>194400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inlineStr">
        <is>
          <t>-</t>
        </is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n">
        <v>10000</v>
      </c>
      <c r="C25" s="7" t="n">
        <v>10000</v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10000</v>
      </c>
      <c r="C35" s="7" t="n">
        <v>2500</v>
      </c>
      <c r="D35" s="7" t="n">
        <v>2500</v>
      </c>
      <c r="E35" s="7" t="n">
        <v>2500</v>
      </c>
      <c r="F35" s="7" t="n">
        <v>2500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260000</v>
      </c>
      <c r="C36" s="7" t="n">
        <v>65000</v>
      </c>
      <c r="D36" s="7" t="n">
        <v>65000</v>
      </c>
      <c r="E36" s="7" t="n">
        <v>65000</v>
      </c>
      <c r="F36" s="7" t="n">
        <v>65000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26123.5</v>
      </c>
      <c r="C37" s="7" t="n">
        <v>5123.5</v>
      </c>
      <c r="D37" s="7" t="n">
        <v>7000</v>
      </c>
      <c r="E37" s="7" t="n">
        <v>7000</v>
      </c>
      <c r="F37" s="7" t="n">
        <v>7000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224000</v>
      </c>
      <c r="C39" s="7" t="n">
        <v>56000</v>
      </c>
      <c r="D39" s="7" t="n">
        <v>56000</v>
      </c>
      <c r="E39" s="7" t="n">
        <v>56000</v>
      </c>
      <c r="F39" s="7" t="n">
        <v>56000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4000</v>
      </c>
      <c r="C41" s="7" t="n">
        <v>1000</v>
      </c>
      <c r="D41" s="7" t="n">
        <v>1000</v>
      </c>
      <c r="E41" s="7" t="n">
        <v>1000</v>
      </c>
      <c r="F41" s="7" t="n">
        <v>1000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IF(B4=0,"-",B43/B4)</f>
        <v/>
      </c>
      <c r="C44" s="10">
        <f>IF(C4=0,"-",C43/C4)</f>
        <v/>
      </c>
      <c r="D44" s="10">
        <f>IF(D4=0,"-",D43/D4)</f>
        <v/>
      </c>
      <c r="E44" s="10">
        <f>IF(E4=0,"-",E43/E4)</f>
        <v/>
      </c>
      <c r="F44" s="10">
        <f>IF(F4=0,"-",F43/F4)</f>
        <v/>
      </c>
      <c r="G44" s="10">
        <f>IF(G4=0,"-",G43/G4)</f>
        <v/>
      </c>
      <c r="H44" s="10">
        <f>IF(H4=0,"-",H43/H4)</f>
        <v/>
      </c>
      <c r="I44" s="10">
        <f>IF(I4=0,"-",I43/I4)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269881.08</v>
      </c>
      <c r="C46" s="7" t="n">
        <v>67470.27</v>
      </c>
      <c r="D46" s="7" t="n">
        <v>67470.27</v>
      </c>
      <c r="E46" s="7" t="n">
        <v>67470.27</v>
      </c>
      <c r="F46" s="7" t="n">
        <v>67470.27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Создано с помощью сервиса ПланФакт</t>
        </is>
      </c>
      <c r="C70" s="7" t="n"/>
      <c r="D70" s="7" t="n"/>
      <c r="E70" s="7" t="n"/>
      <c r="F70" s="7" t="n"/>
      <c r="G70" s="7" t="n"/>
      <c r="H70" s="7" t="n"/>
      <c r="I70" s="7" t="inlineStr">
        <is>
          <t>Перейти в сервис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IF(B4=0,"-",B80/B4)</f>
        <v/>
      </c>
      <c r="C81" s="10">
        <f>IF(C4=0,"-",C80/C4)</f>
        <v/>
      </c>
      <c r="D81" s="10">
        <f>IF(D4=0,"-",D80/D4)</f>
        <v/>
      </c>
      <c r="E81" s="10">
        <f>IF(E4=0,"-",E80/E4)</f>
        <v/>
      </c>
      <c r="F81" s="10">
        <f>IF(F4=0,"-",F80/F4)</f>
        <v/>
      </c>
      <c r="G81" s="10">
        <f>IF(G4=0,"-",G80/G4)</f>
        <v/>
      </c>
      <c r="H81" s="10">
        <f>IF(H4=0,"-",H80/H4)</f>
        <v/>
      </c>
      <c r="I81" s="10">
        <f>IF(I4=0,"-",I80/I4)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B80+B82-B87</f>
        <v/>
      </c>
      <c r="C89" s="9">
        <f>C80+C82-C87</f>
        <v/>
      </c>
      <c r="D89" s="9">
        <f>D80+D82-D87</f>
        <v/>
      </c>
      <c r="E89" s="9">
        <f>E80+E82-E87</f>
        <v/>
      </c>
      <c r="F89" s="9">
        <f>F80+F82-F87</f>
        <v/>
      </c>
      <c r="G89" s="9">
        <f>G80+G82-G87</f>
        <v/>
      </c>
      <c r="H89" s="9">
        <f>H80+H82-H87</f>
        <v/>
      </c>
      <c r="I89" s="9">
        <f>I80+I82-I87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IF(B4=0,"-",B89/B4)</f>
        <v/>
      </c>
      <c r="C90" s="10">
        <f>IF(C4=0,"-",C89/C4)</f>
        <v/>
      </c>
      <c r="D90" s="10">
        <f>IF(D4=0,"-",D89/D4)</f>
        <v/>
      </c>
      <c r="E90" s="10">
        <f>IF(E4=0,"-",E89/E4)</f>
        <v/>
      </c>
      <c r="F90" s="10">
        <f>IF(F4=0,"-",F89/F4)</f>
        <v/>
      </c>
      <c r="G90" s="10">
        <f>IF(G4=0,"-",G89/G4)</f>
        <v/>
      </c>
      <c r="H90" s="10">
        <f>IF(H4=0,"-",H89/H4)</f>
        <v/>
      </c>
      <c r="I90" s="10">
        <f>IF(I4=0,"-",I89/I4)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54000</v>
      </c>
      <c r="C96" s="7" t="n">
        <v>13500</v>
      </c>
      <c r="D96" s="7" t="n">
        <v>13500</v>
      </c>
      <c r="E96" s="7" t="n">
        <v>13500</v>
      </c>
      <c r="F96" s="7" t="n">
        <v>13500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217789.84</v>
      </c>
      <c r="C97" s="7" t="n">
        <v>54447.46</v>
      </c>
      <c r="D97" s="7" t="n">
        <v>54447.46</v>
      </c>
      <c r="E97" s="7" t="n">
        <v>54447.46</v>
      </c>
      <c r="F97" s="7" t="n">
        <v>54447.46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B89-B91-B94-B95</f>
        <v/>
      </c>
      <c r="C98" s="9">
        <f>C89-C91-C94-C95</f>
        <v/>
      </c>
      <c r="D98" s="9">
        <f>D89-D91-D94-D95</f>
        <v/>
      </c>
      <c r="E98" s="9">
        <f>E89-E91-E94-E95</f>
        <v/>
      </c>
      <c r="F98" s="9">
        <f>F89-F91-F94-F95</f>
        <v/>
      </c>
      <c r="G98" s="9">
        <f>G89-G91-G94-G95</f>
        <v/>
      </c>
      <c r="H98" s="9">
        <f>H89-H91-H94-H95</f>
        <v/>
      </c>
      <c r="I98" s="9">
        <f>I89-I91-I94-I95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IF(B4=0,"-",B98/B4)</f>
        <v/>
      </c>
      <c r="C99" s="10">
        <f>IF(C4=0,"-",C98/C4)</f>
        <v/>
      </c>
      <c r="D99" s="10">
        <f>IF(D4=0,"-",D98/D4)</f>
        <v/>
      </c>
      <c r="E99" s="10">
        <f>IF(E4=0,"-",E98/E4)</f>
        <v/>
      </c>
      <c r="F99" s="10">
        <f>IF(F4=0,"-",F98/F4)</f>
        <v/>
      </c>
      <c r="G99" s="10">
        <f>IF(G4=0,"-",G98/G4)</f>
        <v/>
      </c>
      <c r="H99" s="10">
        <f>IF(H4=0,"-",H98/H4)</f>
        <v/>
      </c>
      <c r="I99" s="10">
        <f>IF(I4=0,"-",I98/I4)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Исеть Парк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2998544</v>
      </c>
      <c r="C7" s="7" t="n">
        <v>749636</v>
      </c>
      <c r="D7" s="7" t="n">
        <v>749636</v>
      </c>
      <c r="E7" s="7" t="n">
        <v>749636</v>
      </c>
      <c r="F7" s="7" t="n">
        <v>749636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19356.4</v>
      </c>
      <c r="C17" s="7" t="n">
        <v>4356.4</v>
      </c>
      <c r="D17" s="7" t="n">
        <v>5000</v>
      </c>
      <c r="E17" s="7" t="n">
        <v>5000</v>
      </c>
      <c r="F17" s="7" t="n">
        <v>5000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19512.5</v>
      </c>
      <c r="C18" s="7" t="n">
        <v>4512.5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512000</v>
      </c>
      <c r="C21" s="7" t="n">
        <v>128000</v>
      </c>
      <c r="D21" s="7" t="n">
        <v>128000</v>
      </c>
      <c r="E21" s="7" t="n">
        <v>128000</v>
      </c>
      <c r="F21" s="7" t="n">
        <v>128000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840000</v>
      </c>
      <c r="C22" s="7" t="n">
        <v>210000</v>
      </c>
      <c r="D22" s="7" t="n">
        <v>210000</v>
      </c>
      <c r="E22" s="7" t="n">
        <v>210000</v>
      </c>
      <c r="F22" s="7" t="n">
        <v>210000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56000</v>
      </c>
      <c r="C23" s="7" t="n">
        <v>14000</v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n">
        <v>10000</v>
      </c>
      <c r="C27" s="7" t="n">
        <v>10000</v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8000</v>
      </c>
      <c r="C30" s="7" t="n">
        <v>2000</v>
      </c>
      <c r="D30" s="7" t="n">
        <v>2000</v>
      </c>
      <c r="E30" s="7" t="n">
        <v>2000</v>
      </c>
      <c r="F30" s="7" t="n">
        <v>2000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240000</v>
      </c>
      <c r="C36" s="7" t="n">
        <v>60000</v>
      </c>
      <c r="D36" s="7" t="n">
        <v>60000</v>
      </c>
      <c r="E36" s="7" t="n">
        <v>60000</v>
      </c>
      <c r="F36" s="7" t="n">
        <v>60000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4000</v>
      </c>
      <c r="C37" s="7" t="n">
        <v>1000</v>
      </c>
      <c r="D37" s="7" t="n">
        <v>1000</v>
      </c>
      <c r="E37" s="7" t="n">
        <v>1000</v>
      </c>
      <c r="F37" s="7" t="n">
        <v>1000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104000</v>
      </c>
      <c r="C39" s="7" t="n">
        <v>26000</v>
      </c>
      <c r="D39" s="7" t="n">
        <v>26000</v>
      </c>
      <c r="E39" s="7" t="n">
        <v>26000</v>
      </c>
      <c r="F39" s="7" t="n">
        <v>26000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4000</v>
      </c>
      <c r="C41" s="7" t="n">
        <v>1000</v>
      </c>
      <c r="D41" s="7" t="n">
        <v>1000</v>
      </c>
      <c r="E41" s="7" t="n">
        <v>1000</v>
      </c>
      <c r="F41" s="7" t="n">
        <v>1000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IF(B4=0,"-",B43/B4)</f>
        <v/>
      </c>
      <c r="C44" s="10">
        <f>IF(C4=0,"-",C43/C4)</f>
        <v/>
      </c>
      <c r="D44" s="10">
        <f>IF(D4=0,"-",D43/D4)</f>
        <v/>
      </c>
      <c r="E44" s="10">
        <f>IF(E4=0,"-",E43/E4)</f>
        <v/>
      </c>
      <c r="F44" s="10">
        <f>IF(F4=0,"-",F43/F4)</f>
        <v/>
      </c>
      <c r="G44" s="10">
        <f>IF(G4=0,"-",G43/G4)</f>
        <v/>
      </c>
      <c r="H44" s="10">
        <f>IF(H4=0,"-",H43/H4)</f>
        <v/>
      </c>
      <c r="I44" s="10">
        <f>IF(I4=0,"-",I43/I4)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334040.8</v>
      </c>
      <c r="C46" s="7" t="n">
        <v>83510.2</v>
      </c>
      <c r="D46" s="7" t="n">
        <v>83510.2</v>
      </c>
      <c r="E46" s="7" t="n">
        <v>83510.2</v>
      </c>
      <c r="F46" s="7" t="n">
        <v>83510.2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Создано с помощью сервиса ПланФакт</t>
        </is>
      </c>
      <c r="C70" s="7" t="n"/>
      <c r="D70" s="7" t="n"/>
      <c r="E70" s="7" t="n"/>
      <c r="F70" s="7" t="n"/>
      <c r="G70" s="7" t="n"/>
      <c r="H70" s="7" t="n"/>
      <c r="I70" s="7" t="inlineStr">
        <is>
          <t>Перейти в сервис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IF(B4=0,"-",B80/B4)</f>
        <v/>
      </c>
      <c r="C81" s="10">
        <f>IF(C4=0,"-",C80/C4)</f>
        <v/>
      </c>
      <c r="D81" s="10">
        <f>IF(D4=0,"-",D80/D4)</f>
        <v/>
      </c>
      <c r="E81" s="10">
        <f>IF(E4=0,"-",E80/E4)</f>
        <v/>
      </c>
      <c r="F81" s="10">
        <f>IF(F4=0,"-",F80/F4)</f>
        <v/>
      </c>
      <c r="G81" s="10">
        <f>IF(G4=0,"-",G80/G4)</f>
        <v/>
      </c>
      <c r="H81" s="10">
        <f>IF(H4=0,"-",H80/H4)</f>
        <v/>
      </c>
      <c r="I81" s="10">
        <f>IF(I4=0,"-",I80/I4)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B80+B82-B87</f>
        <v/>
      </c>
      <c r="C89" s="9">
        <f>C80+C82-C87</f>
        <v/>
      </c>
      <c r="D89" s="9">
        <f>D80+D82-D87</f>
        <v/>
      </c>
      <c r="E89" s="9">
        <f>E80+E82-E87</f>
        <v/>
      </c>
      <c r="F89" s="9">
        <f>F80+F82-F87</f>
        <v/>
      </c>
      <c r="G89" s="9">
        <f>G80+G82-G87</f>
        <v/>
      </c>
      <c r="H89" s="9">
        <f>H80+H82-H87</f>
        <v/>
      </c>
      <c r="I89" s="9">
        <f>I80+I82-I87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IF(B4=0,"-",B89/B4)</f>
        <v/>
      </c>
      <c r="C90" s="10">
        <f>IF(C4=0,"-",C89/C4)</f>
        <v/>
      </c>
      <c r="D90" s="10">
        <f>IF(D4=0,"-",D89/D4)</f>
        <v/>
      </c>
      <c r="E90" s="10">
        <f>IF(E4=0,"-",E89/E4)</f>
        <v/>
      </c>
      <c r="F90" s="10">
        <f>IF(F4=0,"-",F89/F4)</f>
        <v/>
      </c>
      <c r="G90" s="10">
        <f>IF(G4=0,"-",G89/G4)</f>
        <v/>
      </c>
      <c r="H90" s="10">
        <f>IF(H4=0,"-",H89/H4)</f>
        <v/>
      </c>
      <c r="I90" s="10">
        <f>IF(I4=0,"-",I89/I4)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44000</v>
      </c>
      <c r="C96" s="7" t="n">
        <v>11000</v>
      </c>
      <c r="D96" s="7" t="n">
        <v>11000</v>
      </c>
      <c r="E96" s="7" t="n">
        <v>11000</v>
      </c>
      <c r="F96" s="7" t="n">
        <v>11000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142778.72</v>
      </c>
      <c r="C97" s="7" t="n">
        <v>35694.68</v>
      </c>
      <c r="D97" s="7" t="n">
        <v>35694.68</v>
      </c>
      <c r="E97" s="7" t="n">
        <v>35694.68</v>
      </c>
      <c r="F97" s="7" t="n">
        <v>35694.68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B89-B91-B94-B95</f>
        <v/>
      </c>
      <c r="C98" s="9">
        <f>C89-C91-C94-C95</f>
        <v/>
      </c>
      <c r="D98" s="9">
        <f>D89-D91-D94-D95</f>
        <v/>
      </c>
      <c r="E98" s="9">
        <f>E89-E91-E94-E95</f>
        <v/>
      </c>
      <c r="F98" s="9">
        <f>F89-F91-F94-F95</f>
        <v/>
      </c>
      <c r="G98" s="9">
        <f>G89-G91-G94-G95</f>
        <v/>
      </c>
      <c r="H98" s="9">
        <f>H89-H91-H94-H95</f>
        <v/>
      </c>
      <c r="I98" s="9">
        <f>I89-I91-I94-I95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IF(B4=0,"-",B98/B4)</f>
        <v/>
      </c>
      <c r="C99" s="10">
        <f>IF(C4=0,"-",C98/C4)</f>
        <v/>
      </c>
      <c r="D99" s="10">
        <f>IF(D4=0,"-",D98/D4)</f>
        <v/>
      </c>
      <c r="E99" s="10">
        <f>IF(E4=0,"-",E98/E4)</f>
        <v/>
      </c>
      <c r="F99" s="10">
        <f>IF(F4=0,"-",F98/F4)</f>
        <v/>
      </c>
      <c r="G99" s="10">
        <f>IF(G4=0,"-",G98/G4)</f>
        <v/>
      </c>
      <c r="H99" s="10">
        <f>IF(H4=0,"-",H98/H4)</f>
        <v/>
      </c>
      <c r="I99" s="10">
        <f>IF(I4=0,"-",I98/I4)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Космонавтов 11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6928360.96</v>
      </c>
      <c r="C7" s="7" t="n">
        <v>1732090.24</v>
      </c>
      <c r="D7" s="7" t="n">
        <v>1732090.24</v>
      </c>
      <c r="E7" s="7" t="n">
        <v>1732090.24</v>
      </c>
      <c r="F7" s="7" t="n">
        <v>1732090.24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n">
        <v>356500</v>
      </c>
      <c r="C15" s="7" t="n">
        <v>80500</v>
      </c>
      <c r="D15" s="7" t="n">
        <v>92000</v>
      </c>
      <c r="E15" s="7" t="n">
        <v>92000</v>
      </c>
      <c r="F15" s="7" t="n">
        <v>92000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20000</v>
      </c>
      <c r="C17" s="7" t="n">
        <v>5000</v>
      </c>
      <c r="D17" s="7" t="n">
        <v>5000</v>
      </c>
      <c r="E17" s="7" t="n">
        <v>5000</v>
      </c>
      <c r="F17" s="7" t="n">
        <v>5000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40019</v>
      </c>
      <c r="C18" s="7" t="n">
        <v>25019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1204000</v>
      </c>
      <c r="C21" s="7" t="n">
        <v>301000</v>
      </c>
      <c r="D21" s="7" t="n">
        <v>301000</v>
      </c>
      <c r="E21" s="7" t="n">
        <v>301000</v>
      </c>
      <c r="F21" s="7" t="n">
        <v>301000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1335994</v>
      </c>
      <c r="C22" s="7" t="n">
        <v>333994</v>
      </c>
      <c r="D22" s="7" t="n">
        <v>334000</v>
      </c>
      <c r="E22" s="7" t="n">
        <v>334000</v>
      </c>
      <c r="F22" s="7" t="n">
        <v>334000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195244</v>
      </c>
      <c r="C23" s="7" t="n">
        <v>48811</v>
      </c>
      <c r="D23" s="7" t="n">
        <v>48811</v>
      </c>
      <c r="E23" s="7" t="n">
        <v>48811</v>
      </c>
      <c r="F23" s="7" t="n">
        <v>48811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56000</v>
      </c>
      <c r="C24" s="7" t="n">
        <v>14000</v>
      </c>
      <c r="D24" s="7" t="n">
        <v>14000</v>
      </c>
      <c r="E24" s="7" t="n">
        <v>14000</v>
      </c>
      <c r="F24" s="7" t="n">
        <v>14000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n">
        <v>2000</v>
      </c>
      <c r="C25" s="7" t="n">
        <v>2000</v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n">
        <v>3200</v>
      </c>
      <c r="C31" s="7" t="n">
        <v>3200</v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inlineStr">
        <is>
          <t>-</t>
        </is>
      </c>
      <c r="C36" s="7" t="inlineStr">
        <is>
          <t>-</t>
        </is>
      </c>
      <c r="D36" s="7" t="inlineStr">
        <is>
          <t>-</t>
        </is>
      </c>
      <c r="E36" s="7" t="inlineStr">
        <is>
          <t>-</t>
        </is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2000</v>
      </c>
      <c r="C37" s="7" t="n">
        <v>2000</v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232500</v>
      </c>
      <c r="C39" s="7" t="n">
        <v>72900</v>
      </c>
      <c r="D39" s="7" t="n">
        <v>53200</v>
      </c>
      <c r="E39" s="7" t="n">
        <v>53200</v>
      </c>
      <c r="F39" s="7" t="n">
        <v>53200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inlineStr">
        <is>
          <t>-</t>
        </is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IF(B4=0,"-",B43/B4)</f>
        <v/>
      </c>
      <c r="C44" s="10">
        <f>IF(C4=0,"-",C43/C4)</f>
        <v/>
      </c>
      <c r="D44" s="10">
        <f>IF(D4=0,"-",D43/D4)</f>
        <v/>
      </c>
      <c r="E44" s="10">
        <f>IF(E4=0,"-",E43/E4)</f>
        <v/>
      </c>
      <c r="F44" s="10">
        <f>IF(F4=0,"-",F43/F4)</f>
        <v/>
      </c>
      <c r="G44" s="10">
        <f>IF(G4=0,"-",G43/G4)</f>
        <v/>
      </c>
      <c r="H44" s="10">
        <f>IF(H4=0,"-",H43/H4)</f>
        <v/>
      </c>
      <c r="I44" s="10">
        <f>IF(I4=0,"-",I43/I4)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772399.64</v>
      </c>
      <c r="C46" s="7" t="n">
        <v>193099.91</v>
      </c>
      <c r="D46" s="7" t="n">
        <v>193099.91</v>
      </c>
      <c r="E46" s="7" t="n">
        <v>193099.91</v>
      </c>
      <c r="F46" s="7" t="n">
        <v>193099.91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n">
        <v>39295.42</v>
      </c>
      <c r="C53" s="7" t="n">
        <v>9886.42</v>
      </c>
      <c r="D53" s="7" t="n">
        <v>9803</v>
      </c>
      <c r="E53" s="7" t="n">
        <v>9803</v>
      </c>
      <c r="F53" s="7" t="n">
        <v>9803</v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n">
        <v>8000</v>
      </c>
      <c r="C56" s="7" t="n">
        <v>2000</v>
      </c>
      <c r="D56" s="7" t="n">
        <v>2000</v>
      </c>
      <c r="E56" s="7" t="n">
        <v>2000</v>
      </c>
      <c r="F56" s="7" t="n">
        <v>2000</v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Создано с помощью сервиса ПланФакт</t>
        </is>
      </c>
      <c r="C70" s="7" t="n"/>
      <c r="D70" s="7" t="n"/>
      <c r="E70" s="7" t="n"/>
      <c r="F70" s="7" t="n"/>
      <c r="G70" s="7" t="n"/>
      <c r="H70" s="7" t="n"/>
      <c r="I70" s="7" t="inlineStr">
        <is>
          <t>Перейти в сервис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IF(B4=0,"-",B80/B4)</f>
        <v/>
      </c>
      <c r="C81" s="10">
        <f>IF(C4=0,"-",C80/C4)</f>
        <v/>
      </c>
      <c r="D81" s="10">
        <f>IF(D4=0,"-",D80/D4)</f>
        <v/>
      </c>
      <c r="E81" s="10">
        <f>IF(E4=0,"-",E80/E4)</f>
        <v/>
      </c>
      <c r="F81" s="10">
        <f>IF(F4=0,"-",F80/F4)</f>
        <v/>
      </c>
      <c r="G81" s="10">
        <f>IF(G4=0,"-",G80/G4)</f>
        <v/>
      </c>
      <c r="H81" s="10">
        <f>IF(H4=0,"-",H80/H4)</f>
        <v/>
      </c>
      <c r="I81" s="10">
        <f>IF(I4=0,"-",I80/I4)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B80+B82-B87</f>
        <v/>
      </c>
      <c r="C89" s="9">
        <f>C80+C82-C87</f>
        <v/>
      </c>
      <c r="D89" s="9">
        <f>D80+D82-D87</f>
        <v/>
      </c>
      <c r="E89" s="9">
        <f>E80+E82-E87</f>
        <v/>
      </c>
      <c r="F89" s="9">
        <f>F80+F82-F87</f>
        <v/>
      </c>
      <c r="G89" s="9">
        <f>G80+G82-G87</f>
        <v/>
      </c>
      <c r="H89" s="9">
        <f>H80+H82-H87</f>
        <v/>
      </c>
      <c r="I89" s="9">
        <f>I80+I82-I87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IF(B4=0,"-",B89/B4)</f>
        <v/>
      </c>
      <c r="C90" s="10">
        <f>IF(C4=0,"-",C89/C4)</f>
        <v/>
      </c>
      <c r="D90" s="10">
        <f>IF(D4=0,"-",D89/D4)</f>
        <v/>
      </c>
      <c r="E90" s="10">
        <f>IF(E4=0,"-",E89/E4)</f>
        <v/>
      </c>
      <c r="F90" s="10">
        <f>IF(F4=0,"-",F89/F4)</f>
        <v/>
      </c>
      <c r="G90" s="10">
        <f>IF(G4=0,"-",G89/G4)</f>
        <v/>
      </c>
      <c r="H90" s="10">
        <f>IF(H4=0,"-",H89/H4)</f>
        <v/>
      </c>
      <c r="I90" s="10">
        <f>IF(I4=0,"-",I89/I4)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100000</v>
      </c>
      <c r="C96" s="7" t="n">
        <v>25000</v>
      </c>
      <c r="D96" s="7" t="n">
        <v>25000</v>
      </c>
      <c r="E96" s="7" t="n">
        <v>25000</v>
      </c>
      <c r="F96" s="7" t="n">
        <v>25000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329930.56</v>
      </c>
      <c r="C97" s="7" t="n">
        <v>82482.64</v>
      </c>
      <c r="D97" s="7" t="n">
        <v>82482.64</v>
      </c>
      <c r="E97" s="7" t="n">
        <v>82482.64</v>
      </c>
      <c r="F97" s="7" t="n">
        <v>82482.64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B89-B91-B94-B95</f>
        <v/>
      </c>
      <c r="C98" s="9">
        <f>C89-C91-C94-C95</f>
        <v/>
      </c>
      <c r="D98" s="9">
        <f>D89-D91-D94-D95</f>
        <v/>
      </c>
      <c r="E98" s="9">
        <f>E89-E91-E94-E95</f>
        <v/>
      </c>
      <c r="F98" s="9">
        <f>F89-F91-F94-F95</f>
        <v/>
      </c>
      <c r="G98" s="9">
        <f>G89-G91-G94-G95</f>
        <v/>
      </c>
      <c r="H98" s="9">
        <f>H89-H91-H94-H95</f>
        <v/>
      </c>
      <c r="I98" s="9">
        <f>I89-I91-I94-I95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IF(B4=0,"-",B98/B4)</f>
        <v/>
      </c>
      <c r="C99" s="10">
        <f>IF(C4=0,"-",C98/C4)</f>
        <v/>
      </c>
      <c r="D99" s="10">
        <f>IF(D4=0,"-",D98/D4)</f>
        <v/>
      </c>
      <c r="E99" s="10">
        <f>IF(E4=0,"-",E98/E4)</f>
        <v/>
      </c>
      <c r="F99" s="10">
        <f>IF(F4=0,"-",F98/F4)</f>
        <v/>
      </c>
      <c r="G99" s="10">
        <f>IF(G4=0,"-",G98/G4)</f>
        <v/>
      </c>
      <c r="H99" s="10">
        <f>IF(H4=0,"-",H98/H4)</f>
        <v/>
      </c>
      <c r="I99" s="10">
        <f>IF(I4=0,"-",I98/I4)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Утес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872916.16</v>
      </c>
      <c r="C7" s="7" t="n">
        <v>218229.04</v>
      </c>
      <c r="D7" s="7" t="n">
        <v>218229.04</v>
      </c>
      <c r="E7" s="7" t="n">
        <v>218229.04</v>
      </c>
      <c r="F7" s="7" t="n">
        <v>218229.04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3219.98</v>
      </c>
      <c r="C17" s="7" t="n">
        <v>219.98</v>
      </c>
      <c r="D17" s="7" t="n">
        <v>1000</v>
      </c>
      <c r="E17" s="7" t="n">
        <v>1000</v>
      </c>
      <c r="F17" s="7" t="n">
        <v>1000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4000</v>
      </c>
      <c r="C18" s="7" t="n">
        <v>1000</v>
      </c>
      <c r="D18" s="7" t="n">
        <v>1000</v>
      </c>
      <c r="E18" s="7" t="n">
        <v>1000</v>
      </c>
      <c r="F18" s="7" t="n">
        <v>1000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340000</v>
      </c>
      <c r="C21" s="7" t="n">
        <v>85000</v>
      </c>
      <c r="D21" s="7" t="n">
        <v>85000</v>
      </c>
      <c r="E21" s="7" t="n">
        <v>85000</v>
      </c>
      <c r="F21" s="7" t="n">
        <v>85000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500000</v>
      </c>
      <c r="C22" s="7" t="n">
        <v>125000</v>
      </c>
      <c r="D22" s="7" t="n">
        <v>125000</v>
      </c>
      <c r="E22" s="7" t="n">
        <v>125000</v>
      </c>
      <c r="F22" s="7" t="n">
        <v>125000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inlineStr">
        <is>
          <t>-</t>
        </is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48631.75</v>
      </c>
      <c r="C24" s="7" t="n">
        <v>6631.75</v>
      </c>
      <c r="D24" s="7" t="n">
        <v>14000</v>
      </c>
      <c r="E24" s="7" t="n">
        <v>14000</v>
      </c>
      <c r="F24" s="7" t="n">
        <v>14000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12000</v>
      </c>
      <c r="C30" s="7" t="n">
        <v>3000</v>
      </c>
      <c r="D30" s="7" t="n">
        <v>3000</v>
      </c>
      <c r="E30" s="7" t="n">
        <v>3000</v>
      </c>
      <c r="F30" s="7" t="n">
        <v>3000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80000</v>
      </c>
      <c r="C36" s="7" t="n">
        <v>20000</v>
      </c>
      <c r="D36" s="7" t="n">
        <v>20000</v>
      </c>
      <c r="E36" s="7" t="n">
        <v>20000</v>
      </c>
      <c r="F36" s="7" t="n">
        <v>20000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4118.38</v>
      </c>
      <c r="C37" s="7" t="n">
        <v>1118.38</v>
      </c>
      <c r="D37" s="7" t="n">
        <v>1000</v>
      </c>
      <c r="E37" s="7" t="n">
        <v>1000</v>
      </c>
      <c r="F37" s="7" t="n">
        <v>1000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52000</v>
      </c>
      <c r="C39" s="7" t="n">
        <v>13000</v>
      </c>
      <c r="D39" s="7" t="n">
        <v>13000</v>
      </c>
      <c r="E39" s="7" t="n">
        <v>13000</v>
      </c>
      <c r="F39" s="7" t="n">
        <v>13000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inlineStr">
        <is>
          <t>-</t>
        </is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IF(B4=0,"-",B43/B4)</f>
        <v/>
      </c>
      <c r="C44" s="10">
        <f>IF(C4=0,"-",C43/C4)</f>
        <v/>
      </c>
      <c r="D44" s="10">
        <f>IF(D4=0,"-",D43/D4)</f>
        <v/>
      </c>
      <c r="E44" s="10">
        <f>IF(E4=0,"-",E43/E4)</f>
        <v/>
      </c>
      <c r="F44" s="10">
        <f>IF(F4=0,"-",F43/F4)</f>
        <v/>
      </c>
      <c r="G44" s="10">
        <f>IF(G4=0,"-",G43/G4)</f>
        <v/>
      </c>
      <c r="H44" s="10">
        <f>IF(H4=0,"-",H43/H4)</f>
        <v/>
      </c>
      <c r="I44" s="10">
        <f>IF(I4=0,"-",I43/I4)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150809.56</v>
      </c>
      <c r="C46" s="7" t="n">
        <v>37702.39</v>
      </c>
      <c r="D46" s="7" t="n">
        <v>37702.39</v>
      </c>
      <c r="E46" s="7" t="n">
        <v>37702.39</v>
      </c>
      <c r="F46" s="7" t="n">
        <v>37702.39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Создано с помощью сервиса ПланФакт</t>
        </is>
      </c>
      <c r="C70" s="7" t="n"/>
      <c r="D70" s="7" t="n"/>
      <c r="E70" s="7" t="n"/>
      <c r="F70" s="7" t="n"/>
      <c r="G70" s="7" t="n"/>
      <c r="H70" s="7" t="n"/>
      <c r="I70" s="7" t="inlineStr">
        <is>
          <t>Перейти в сервис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IF(B4=0,"-",B80/B4)</f>
        <v/>
      </c>
      <c r="C81" s="10">
        <f>IF(C4=0,"-",C80/C4)</f>
        <v/>
      </c>
      <c r="D81" s="10">
        <f>IF(D4=0,"-",D80/D4)</f>
        <v/>
      </c>
      <c r="E81" s="10">
        <f>IF(E4=0,"-",E80/E4)</f>
        <v/>
      </c>
      <c r="F81" s="10">
        <f>IF(F4=0,"-",F80/F4)</f>
        <v/>
      </c>
      <c r="G81" s="10">
        <f>IF(G4=0,"-",G80/G4)</f>
        <v/>
      </c>
      <c r="H81" s="10">
        <f>IF(H4=0,"-",H80/H4)</f>
        <v/>
      </c>
      <c r="I81" s="10">
        <f>IF(I4=0,"-",I80/I4)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B80+B82-B87</f>
        <v/>
      </c>
      <c r="C89" s="9">
        <f>C80+C82-C87</f>
        <v/>
      </c>
      <c r="D89" s="9">
        <f>D80+D82-D87</f>
        <v/>
      </c>
      <c r="E89" s="9">
        <f>E80+E82-E87</f>
        <v/>
      </c>
      <c r="F89" s="9">
        <f>F80+F82-F87</f>
        <v/>
      </c>
      <c r="G89" s="9">
        <f>G80+G82-G87</f>
        <v/>
      </c>
      <c r="H89" s="9">
        <f>H80+H82-H87</f>
        <v/>
      </c>
      <c r="I89" s="9">
        <f>I80+I82-I87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IF(B4=0,"-",B89/B4)</f>
        <v/>
      </c>
      <c r="C90" s="10">
        <f>IF(C4=0,"-",C89/C4)</f>
        <v/>
      </c>
      <c r="D90" s="10">
        <f>IF(D4=0,"-",D89/D4)</f>
        <v/>
      </c>
      <c r="E90" s="10">
        <f>IF(E4=0,"-",E89/E4)</f>
        <v/>
      </c>
      <c r="F90" s="10">
        <f>IF(F4=0,"-",F89/F4)</f>
        <v/>
      </c>
      <c r="G90" s="10">
        <f>IF(G4=0,"-",G89/G4)</f>
        <v/>
      </c>
      <c r="H90" s="10">
        <f>IF(H4=0,"-",H89/H4)</f>
        <v/>
      </c>
      <c r="I90" s="10">
        <f>IF(I4=0,"-",I89/I4)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13200</v>
      </c>
      <c r="C96" s="7" t="n">
        <v>3300</v>
      </c>
      <c r="D96" s="7" t="n">
        <v>3300</v>
      </c>
      <c r="E96" s="7" t="n">
        <v>3300</v>
      </c>
      <c r="F96" s="7" t="n">
        <v>3300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41567.88</v>
      </c>
      <c r="C97" s="7" t="n">
        <v>10391.97</v>
      </c>
      <c r="D97" s="7" t="n">
        <v>10391.97</v>
      </c>
      <c r="E97" s="7" t="n">
        <v>10391.97</v>
      </c>
      <c r="F97" s="7" t="n">
        <v>10391.97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B89-B91-B94-B95</f>
        <v/>
      </c>
      <c r="C98" s="9">
        <f>C89-C91-C94-C95</f>
        <v/>
      </c>
      <c r="D98" s="9">
        <f>D89-D91-D94-D95</f>
        <v/>
      </c>
      <c r="E98" s="9">
        <f>E89-E91-E94-E95</f>
        <v/>
      </c>
      <c r="F98" s="9">
        <f>F89-F91-F94-F95</f>
        <v/>
      </c>
      <c r="G98" s="9">
        <f>G89-G91-G94-G95</f>
        <v/>
      </c>
      <c r="H98" s="9">
        <f>H89-H91-H94-H95</f>
        <v/>
      </c>
      <c r="I98" s="9">
        <f>I89-I91-I94-I95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IF(B4=0,"-",B98/B4)</f>
        <v/>
      </c>
      <c r="C99" s="10">
        <f>IF(C4=0,"-",C98/C4)</f>
        <v/>
      </c>
      <c r="D99" s="10">
        <f>IF(D4=0,"-",D98/D4)</f>
        <v/>
      </c>
      <c r="E99" s="10">
        <f>IF(E4=0,"-",E98/E4)</f>
        <v/>
      </c>
      <c r="F99" s="10">
        <f>IF(F4=0,"-",F98/F4)</f>
        <v/>
      </c>
      <c r="G99" s="10">
        <f>IF(G4=0,"-",G98/G4)</f>
        <v/>
      </c>
      <c r="H99" s="10">
        <f>IF(H4=0,"-",H98/H4)</f>
        <v/>
      </c>
      <c r="I99" s="10">
        <f>IF(I4=0,"-",I98/I4)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2026-06-29T15:05:04Z</dcterms:created>
  <dcterms:modified xsi:type="dcterms:W3CDTF">2026-06-29T15:05:05Z</dcterms:modified>
</cp:coreProperties>
</file>