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ёт ФОТ" sheetId="1" state="visible" r:id="rId1"/>
    <sheet name="Текущий бюджет" sheetId="2" state="visible" r:id="rId2"/>
    <sheet name="+30% ФОТ → 20%" sheetId="3" state="visible" r:id="rId3"/>
    <sheet name="+40% ФОТ → 20%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₽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0"/>
    </font>
    <font>
      <color rgb="00000000"/>
      <sz val="10"/>
    </font>
    <font>
      <b val="1"/>
      <color rgb="00FFFFFF"/>
      <sz val="9"/>
    </font>
    <font>
      <i val="1"/>
      <color rgb="00595959"/>
      <sz val="9"/>
    </font>
    <font>
      <b val="1"/>
      <color rgb="00FFFFFF"/>
      <sz val="10"/>
    </font>
    <font>
      <b val="1"/>
      <i val="1"/>
      <color rgb="00000000"/>
      <sz val="9"/>
    </font>
    <font>
      <i val="1"/>
      <color rgb="00000000"/>
      <sz val="9"/>
    </font>
    <font>
      <i val="1"/>
      <color rgb="00000000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BE6"/>
      </patternFill>
    </fill>
    <fill>
      <patternFill patternType="solid">
        <fgColor rgb="00155724"/>
      </patternFill>
    </fill>
    <fill>
      <patternFill patternType="solid">
        <fgColor rgb="00FAFAFA"/>
      </patternFill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E8F0FE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9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9" fontId="3" fillId="7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0" fillId="11" borderId="0" pivotButton="0" quotePrefix="0" xfId="0"/>
    <xf numFmtId="0" fontId="2" fillId="12" borderId="1" applyAlignment="1" pivotButton="0" quotePrefix="0" xfId="0">
      <alignment horizontal="left" vertical="center"/>
    </xf>
    <xf numFmtId="0" fontId="0" fillId="12" borderId="1" pivotButton="0" quotePrefix="0" xfId="0"/>
    <xf numFmtId="3" fontId="3" fillId="7" borderId="1" applyAlignment="1" pivotButton="0" quotePrefix="0" xfId="0">
      <alignment horizontal="right" vertical="center"/>
    </xf>
    <xf numFmtId="3" fontId="2" fillId="7" borderId="1" applyAlignment="1" pivotButton="0" quotePrefix="0" xfId="0">
      <alignment horizontal="right" vertical="center"/>
    </xf>
    <xf numFmtId="3" fontId="2" fillId="13" borderId="1" applyAlignment="1" pivotButton="0" quotePrefix="0" xfId="0">
      <alignment horizontal="right" vertical="center"/>
    </xf>
    <xf numFmtId="3" fontId="2" fillId="8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0" fillId="14" borderId="1" pivotButton="0" quotePrefix="0" xfId="0"/>
    <xf numFmtId="0" fontId="3" fillId="15" borderId="1" applyAlignment="1" pivotButton="0" quotePrefix="0" xfId="0">
      <alignment horizontal="left" vertical="center"/>
    </xf>
    <xf numFmtId="3" fontId="3" fillId="15" borderId="1" applyAlignment="1" pivotButton="0" quotePrefix="0" xfId="0">
      <alignment horizontal="right" vertical="center"/>
    </xf>
    <xf numFmtId="3" fontId="2" fillId="15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3" fontId="2" fillId="5" borderId="1" applyAlignment="1" pivotButton="0" quotePrefix="0" xfId="0">
      <alignment horizontal="right" vertical="center"/>
    </xf>
    <xf numFmtId="0" fontId="2" fillId="16" borderId="1" applyAlignment="1" pivotButton="0" quotePrefix="0" xfId="0">
      <alignment horizontal="left" vertical="center"/>
    </xf>
    <xf numFmtId="3" fontId="2" fillId="1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165" fontId="9" fillId="6" borderId="1" applyAlignment="1" pivotButton="0" quotePrefix="0" xfId="0">
      <alignment horizontal="right" vertical="center"/>
    </xf>
    <xf numFmtId="165" fontId="9" fillId="1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2" fillId="8" borderId="1" applyAlignment="1" pivotButton="0" quotePrefix="0" xfId="0">
      <alignment horizontal="right" vertical="center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6" customWidth="1" min="4" max="4"/>
    <col width="16" customWidth="1" min="5" max="5"/>
    <col width="14" customWidth="1" min="6" max="6"/>
    <col width="12" customWidth="1" min="7" max="7"/>
    <col width="14" customWidth="1" min="8" max="8"/>
    <col width="18" customWidth="1" min="9" max="9"/>
  </cols>
  <sheetData>
    <row r="1" ht="28" customHeight="1">
      <c r="A1" s="1" t="inlineStr">
        <is>
          <t>ЖК Астрид — Расчёт ФОТ (ежемесячный)</t>
        </is>
      </c>
    </row>
    <row r="3">
      <c r="A3" s="2" t="inlineStr">
        <is>
          <t>⚙️  Параметры расчёта</t>
        </is>
      </c>
    </row>
    <row r="4">
      <c r="A4" s="3" t="inlineStr">
        <is>
          <t>НДФЛ</t>
        </is>
      </c>
      <c r="B4" s="4" t="n">
        <v>0.13</v>
      </c>
      <c r="C4" s="5" t="n"/>
      <c r="D4" s="5" t="n"/>
      <c r="E4" s="5" t="n"/>
      <c r="F4" s="5" t="n"/>
      <c r="G4" s="5" t="n"/>
      <c r="H4" s="5" t="n"/>
      <c r="I4" s="5" t="n"/>
    </row>
    <row r="5">
      <c r="A5" s="3" t="inlineStr">
        <is>
          <t>Страх. взносы (осн.)</t>
        </is>
      </c>
      <c r="B5" s="4" t="n">
        <v>0.3</v>
      </c>
      <c r="C5" s="5" t="n"/>
      <c r="D5" s="5" t="n"/>
      <c r="E5" s="5" t="n"/>
      <c r="F5" s="5" t="n"/>
      <c r="G5" s="5" t="n"/>
      <c r="H5" s="5" t="n"/>
      <c r="I5" s="5" t="n"/>
    </row>
    <row r="6">
      <c r="A6" s="3" t="inlineStr">
        <is>
          <t>Страх. взносы (льгот.)</t>
        </is>
      </c>
      <c r="B6" s="4" t="n">
        <v>0.15</v>
      </c>
      <c r="C6" s="5" t="n"/>
      <c r="D6" s="5" t="n"/>
      <c r="E6" s="5" t="n"/>
      <c r="F6" s="5" t="n"/>
      <c r="G6" s="5" t="n"/>
      <c r="H6" s="5" t="n"/>
      <c r="I6" s="5" t="n"/>
    </row>
    <row r="8" ht="30" customHeight="1">
      <c r="A8" s="6" t="inlineStr">
        <is>
          <t>Категория</t>
        </is>
      </c>
      <c r="B8" s="6" t="inlineStr">
        <is>
          <t>Должность</t>
        </is>
      </c>
      <c r="C8" s="6" t="inlineStr">
        <is>
          <t>Кол-во</t>
        </is>
      </c>
      <c r="D8" s="6" t="inlineStr">
        <is>
          <t>ЗП на руки
(1 чел.)</t>
        </is>
      </c>
      <c r="E8" s="6" t="inlineStr">
        <is>
          <t>Начислено
(1 чел.)</t>
        </is>
      </c>
      <c r="F8" s="6" t="inlineStr">
        <is>
          <t>НДФЛ
(1 чел.)</t>
        </is>
      </c>
      <c r="G8" s="6" t="inlineStr">
        <is>
          <t>Ставка СВ</t>
        </is>
      </c>
      <c r="H8" s="6" t="inlineStr">
        <is>
          <t>Страх.взносы
(1 чел.)</t>
        </is>
      </c>
      <c r="I8" s="6" t="inlineStr">
        <is>
          <t>Расход/мес
(все)</t>
        </is>
      </c>
    </row>
    <row r="9">
      <c r="A9" s="7" t="inlineStr">
        <is>
          <t>МОП</t>
        </is>
      </c>
      <c r="B9" s="8" t="inlineStr">
        <is>
          <t>Уборщица</t>
        </is>
      </c>
      <c r="C9" s="9" t="n">
        <v>5</v>
      </c>
      <c r="D9" s="10" t="n">
        <v>37000</v>
      </c>
      <c r="E9" s="11">
        <f>IF(D9=0,0,D9/(1-B4))</f>
        <v/>
      </c>
      <c r="F9" s="11">
        <f>IF(E9=0,0,E9*B4)</f>
        <v/>
      </c>
      <c r="G9" s="12">
        <f>B5</f>
        <v/>
      </c>
      <c r="H9" s="11">
        <f>IF(E9=0,0,E9*G9)</f>
        <v/>
      </c>
      <c r="I9" s="13">
        <f>IF(C9=0,0,(E9+H9)*C9)</f>
        <v/>
      </c>
    </row>
    <row r="10">
      <c r="A10" s="7" t="inlineStr">
        <is>
          <t>МОП</t>
        </is>
      </c>
      <c r="B10" s="8" t="inlineStr">
        <is>
          <t>Уборщица (доп.)</t>
        </is>
      </c>
      <c r="C10" s="9" t="n"/>
      <c r="D10" s="10" t="n"/>
      <c r="E10" s="11">
        <f>IF(D10=0,0,D10/(1-B4))</f>
        <v/>
      </c>
      <c r="F10" s="11">
        <f>IF(E10=0,0,E10*B4)</f>
        <v/>
      </c>
      <c r="G10" s="12">
        <f>B5</f>
        <v/>
      </c>
      <c r="H10" s="11">
        <f>IF(E10=0,0,E10*G10)</f>
        <v/>
      </c>
      <c r="I10" s="13">
        <f>IF(C10=0,0,(E10+H10)*C10)</f>
        <v/>
      </c>
    </row>
    <row r="11">
      <c r="A11" s="14" t="inlineStr">
        <is>
          <t>ПТ</t>
        </is>
      </c>
      <c r="B11" s="15" t="inlineStr">
        <is>
          <t>Дворник</t>
        </is>
      </c>
      <c r="C11" s="9" t="n">
        <v>3</v>
      </c>
      <c r="D11" s="10" t="n">
        <v>65000</v>
      </c>
      <c r="E11" s="11">
        <f>IF(D11=0,0,D11/(1-B4))</f>
        <v/>
      </c>
      <c r="F11" s="11">
        <f>IF(E11=0,0,E11*B4)</f>
        <v/>
      </c>
      <c r="G11" s="12">
        <f>B5</f>
        <v/>
      </c>
      <c r="H11" s="11">
        <f>IF(E11=0,0,E11*G11)</f>
        <v/>
      </c>
      <c r="I11" s="13">
        <f>IF(C11=0,0,(E11+H11)*C11)</f>
        <v/>
      </c>
    </row>
    <row r="12">
      <c r="A12" s="14" t="inlineStr">
        <is>
          <t>ПТ</t>
        </is>
      </c>
      <c r="B12" s="15" t="inlineStr">
        <is>
          <t>Дворник (доп.)</t>
        </is>
      </c>
      <c r="C12" s="9" t="n"/>
      <c r="D12" s="10" t="n"/>
      <c r="E12" s="11">
        <f>IF(D12=0,0,D12/(1-B4))</f>
        <v/>
      </c>
      <c r="F12" s="11">
        <f>IF(E12=0,0,E12*B4)</f>
        <v/>
      </c>
      <c r="G12" s="12">
        <f>B5</f>
        <v/>
      </c>
      <c r="H12" s="11">
        <f>IF(E12=0,0,E12*G12)</f>
        <v/>
      </c>
      <c r="I12" s="13">
        <f>IF(C12=0,0,(E12+H12)*C12)</f>
        <v/>
      </c>
    </row>
    <row r="13">
      <c r="A13" s="3" t="inlineStr">
        <is>
          <t>АУП</t>
        </is>
      </c>
      <c r="B13" s="5" t="inlineStr">
        <is>
          <t>Менеджер объекта</t>
        </is>
      </c>
      <c r="C13" s="9" t="n">
        <v>1</v>
      </c>
      <c r="D13" s="10" t="n">
        <v>52200</v>
      </c>
      <c r="E13" s="11">
        <f>IF(D13=0,0,D13/(1-B4))</f>
        <v/>
      </c>
      <c r="F13" s="11">
        <f>IF(E13=0,0,E13*B4)</f>
        <v/>
      </c>
      <c r="G13" s="12">
        <f>B5</f>
        <v/>
      </c>
      <c r="H13" s="11">
        <f>IF(E13=0,0,E13*G13)</f>
        <v/>
      </c>
      <c r="I13" s="13">
        <f>IF(C13=0,0,(E13+H13)*C13)</f>
        <v/>
      </c>
    </row>
    <row r="14">
      <c r="A14" s="5" t="inlineStr"/>
      <c r="B14" s="5" t="inlineStr"/>
      <c r="C14" s="9" t="n"/>
      <c r="D14" s="10" t="n"/>
      <c r="E14" s="11">
        <f>IF(D14=0,0,D14/(1-B4))</f>
        <v/>
      </c>
      <c r="F14" s="11">
        <f>IF(E14=0,0,E14*B4)</f>
        <v/>
      </c>
      <c r="G14" s="12">
        <f>B5</f>
        <v/>
      </c>
      <c r="H14" s="11">
        <f>IF(E14=0,0,E14*G14)</f>
        <v/>
      </c>
      <c r="I14" s="13">
        <f>IF(C14=0,0,(E14+H14)*C14)</f>
        <v/>
      </c>
    </row>
    <row r="15">
      <c r="A15" s="5" t="inlineStr"/>
      <c r="B15" s="5" t="inlineStr"/>
      <c r="C15" s="9" t="n"/>
      <c r="D15" s="10" t="n"/>
      <c r="E15" s="11">
        <f>IF(D15=0,0,D15/(1-B4))</f>
        <v/>
      </c>
      <c r="F15" s="11">
        <f>IF(E15=0,0,E15*B4)</f>
        <v/>
      </c>
      <c r="G15" s="12">
        <f>B5</f>
        <v/>
      </c>
      <c r="H15" s="11">
        <f>IF(E15=0,0,E15*G15)</f>
        <v/>
      </c>
      <c r="I15" s="13">
        <f>IF(C15=0,0,(E15+H15)*C15)</f>
        <v/>
      </c>
    </row>
    <row r="16">
      <c r="A16" s="5" t="inlineStr"/>
      <c r="B16" s="5" t="inlineStr"/>
      <c r="C16" s="9" t="n"/>
      <c r="D16" s="10" t="n"/>
      <c r="E16" s="11">
        <f>IF(D16=0,0,D16/(1-B4))</f>
        <v/>
      </c>
      <c r="F16" s="11">
        <f>IF(E16=0,0,E16*B4)</f>
        <v/>
      </c>
      <c r="G16" s="12">
        <f>B5</f>
        <v/>
      </c>
      <c r="H16" s="11">
        <f>IF(E16=0,0,E16*G16)</f>
        <v/>
      </c>
      <c r="I16" s="13">
        <f>IF(C16=0,0,(E16+H16)*C16)</f>
        <v/>
      </c>
    </row>
    <row r="18">
      <c r="A18" s="2" t="inlineStr">
        <is>
          <t>ИТОГО ЕЖЕМЕСЯЧНЫЙ ФОТ</t>
        </is>
      </c>
    </row>
    <row r="19">
      <c r="A19" s="5" t="inlineStr">
        <is>
          <t>ЗП к выплате (net)</t>
        </is>
      </c>
      <c r="B19" s="11">
        <f>SUMPRODUCT(C9:C16,D9:D16)</f>
        <v/>
      </c>
      <c r="C19" s="5" t="n"/>
      <c r="D19" s="5" t="n"/>
      <c r="E19" s="5" t="n"/>
      <c r="F19" s="5" t="n"/>
      <c r="G19" s="5" t="n"/>
      <c r="H19" s="5" t="n"/>
      <c r="I19" s="5" t="n"/>
    </row>
    <row r="20">
      <c r="A20" s="5" t="inlineStr">
        <is>
          <t>ЗП начисленная (gross)</t>
        </is>
      </c>
      <c r="B20" s="11">
        <f>SUMPRODUCT(C9:C16,E9:E16)</f>
        <v/>
      </c>
      <c r="C20" s="5" t="n"/>
      <c r="D20" s="5" t="n"/>
      <c r="E20" s="5" t="n"/>
      <c r="F20" s="5" t="n"/>
      <c r="G20" s="5" t="n"/>
      <c r="H20" s="5" t="n"/>
      <c r="I20" s="5" t="n"/>
    </row>
    <row r="21">
      <c r="A21" s="5" t="inlineStr">
        <is>
          <t>НДФЛ итого</t>
        </is>
      </c>
      <c r="B21" s="11">
        <f>SUMPRODUCT(C9:C16,F9:F16)</f>
        <v/>
      </c>
      <c r="C21" s="5" t="n"/>
      <c r="D21" s="5" t="n"/>
      <c r="E21" s="5" t="n"/>
      <c r="F21" s="5" t="n"/>
      <c r="G21" s="5" t="n"/>
      <c r="H21" s="5" t="n"/>
      <c r="I21" s="5" t="n"/>
    </row>
    <row r="22">
      <c r="A22" s="5" t="inlineStr">
        <is>
          <t>Страх.взносы итого</t>
        </is>
      </c>
      <c r="B22" s="11">
        <f>SUMPRODUCT(C9:C16,H9:H16)</f>
        <v/>
      </c>
      <c r="C22" s="5" t="n"/>
      <c r="D22" s="5" t="n"/>
      <c r="E22" s="5" t="n"/>
      <c r="F22" s="5" t="n"/>
      <c r="G22" s="5" t="n"/>
      <c r="H22" s="5" t="n"/>
      <c r="I22" s="5" t="n"/>
    </row>
    <row r="23">
      <c r="A23" s="16" t="inlineStr">
        <is>
          <t>✅ ИТОГО РАСХОД РАБОТОДАТЕЛЯ</t>
        </is>
      </c>
      <c r="B23" s="13">
        <f>SUMIF(I9:I16,"&gt;0")</f>
        <v/>
      </c>
      <c r="C23" s="17" t="n"/>
      <c r="D23" s="17" t="n"/>
      <c r="E23" s="17" t="n"/>
      <c r="F23" s="17" t="n"/>
      <c r="G23" s="17" t="n"/>
      <c r="H23" s="17" t="n"/>
      <c r="I23" s="17" t="n"/>
    </row>
    <row r="25" ht="40" customHeight="1">
      <c r="A25" s="18" t="inlineStr">
        <is>
          <t>ℹ️  Инструкция: заполните жёлтые ячейки (Кол-во и ЗП на руки). Значения «Расход/мес» автоматически пересчитаются. Перенесите ЗП начисленную и Страх.взносы в строки ФОТ листа P&amp;L.</t>
        </is>
      </c>
    </row>
  </sheetData>
  <mergeCells count="4">
    <mergeCell ref="A1:I1"/>
    <mergeCell ref="A25:I25"/>
    <mergeCell ref="A3:D3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7" customWidth="1" min="7" max="7"/>
  </cols>
  <sheetData>
    <row r="1" ht="26" customHeight="1">
      <c r="A1" s="1" t="inlineStr">
        <is>
          <t>ЖК Астрид  |  Текущее состояние (выручка 653 961 ₽/мес)</t>
        </is>
      </c>
    </row>
    <row r="2">
      <c r="A2" s="19" t="inlineStr">
        <is>
          <t>Статья</t>
        </is>
      </c>
      <c r="B2" s="19" t="inlineStr">
        <is>
          <t>Июнь</t>
        </is>
      </c>
      <c r="C2" s="19" t="inlineStr">
        <is>
          <t>Июль</t>
        </is>
      </c>
      <c r="D2" s="19" t="inlineStr">
        <is>
          <t>Август</t>
        </is>
      </c>
      <c r="E2" s="19" t="inlineStr">
        <is>
          <t>Сентябрь</t>
        </is>
      </c>
      <c r="F2" s="19" t="inlineStr">
        <is>
          <t>Итого</t>
        </is>
      </c>
      <c r="G2" s="20" t="inlineStr">
        <is>
          <t>Текущий → ЧП 20%</t>
        </is>
      </c>
    </row>
    <row r="3">
      <c r="A3" s="21" t="n"/>
      <c r="B3" s="21" t="n"/>
      <c r="C3" s="21" t="n"/>
      <c r="D3" s="21" t="n"/>
      <c r="E3" s="21" t="n"/>
      <c r="F3" s="21" t="n"/>
      <c r="G3" s="21" t="n"/>
    </row>
    <row r="4">
      <c r="A4" s="22" t="inlineStr">
        <is>
          <t>📈  ВЫРУЧКА</t>
        </is>
      </c>
      <c r="B4" s="23" t="n"/>
      <c r="C4" s="23" t="n"/>
      <c r="D4" s="23" t="n"/>
      <c r="E4" s="23" t="n"/>
      <c r="F4" s="23" t="n"/>
      <c r="G4" s="23" t="n"/>
    </row>
    <row r="5">
      <c r="A5" s="15" t="inlineStr">
        <is>
          <t xml:space="preserve">  Реализация услуг Клининг (ОД)</t>
        </is>
      </c>
      <c r="B5" s="24" t="n">
        <v>653961</v>
      </c>
      <c r="C5" s="24" t="n">
        <v>653961</v>
      </c>
      <c r="D5" s="24" t="n">
        <v>653961</v>
      </c>
      <c r="E5" s="24" t="n">
        <v>653961</v>
      </c>
      <c r="F5" s="25">
        <f>SUM(B5,C5,D5,E5)</f>
        <v/>
      </c>
      <c r="G5" s="26" t="n">
        <v>3844568</v>
      </c>
    </row>
    <row r="6">
      <c r="A6" s="16" t="inlineStr">
        <is>
          <t>ИТОГО ВЫРУЧКА</t>
        </is>
      </c>
      <c r="B6" s="27">
        <f>SUM(B5)</f>
        <v/>
      </c>
      <c r="C6" s="27">
        <f>SUM(C5)</f>
        <v/>
      </c>
      <c r="D6" s="27">
        <f>SUM(D5)</f>
        <v/>
      </c>
      <c r="E6" s="27">
        <f>SUM(E5)</f>
        <v/>
      </c>
      <c r="F6" s="27">
        <f>SUM(F5)</f>
        <v/>
      </c>
      <c r="G6" s="28">
        <f>SUM(G5)</f>
        <v/>
      </c>
    </row>
    <row r="7">
      <c r="A7" s="21" t="n"/>
      <c r="B7" s="21" t="n"/>
      <c r="C7" s="21" t="n"/>
      <c r="D7" s="21" t="n"/>
      <c r="E7" s="21" t="n"/>
      <c r="F7" s="21" t="n"/>
      <c r="G7" s="21" t="n"/>
    </row>
    <row r="8">
      <c r="A8" s="22" t="inlineStr">
        <is>
          <t>💸  ПРЯМЫЕ РАСХОДЫ</t>
        </is>
      </c>
      <c r="B8" s="23" t="n"/>
      <c r="C8" s="23" t="n"/>
      <c r="D8" s="23" t="n"/>
      <c r="E8" s="23" t="n"/>
      <c r="F8" s="23" t="n"/>
      <c r="G8" s="23" t="n"/>
    </row>
    <row r="9">
      <c r="A9" s="29" t="inlineStr">
        <is>
          <t xml:space="preserve">  Переменные расходы</t>
        </is>
      </c>
      <c r="B9" s="30" t="n"/>
      <c r="C9" s="30" t="n"/>
      <c r="D9" s="30" t="n"/>
      <c r="E9" s="30" t="n"/>
      <c r="F9" s="30" t="n"/>
      <c r="G9" s="30" t="n"/>
    </row>
    <row r="10">
      <c r="A10" s="31" t="inlineStr">
        <is>
          <t xml:space="preserve">    Расходные материалы МОП</t>
        </is>
      </c>
      <c r="B10" s="32" t="n">
        <v>10588</v>
      </c>
      <c r="C10" s="32" t="n">
        <v>21588</v>
      </c>
      <c r="D10" s="32" t="n">
        <v>10588</v>
      </c>
      <c r="E10" s="32" t="n">
        <v>10000</v>
      </c>
      <c r="F10" s="33">
        <f>SUM(B10,C10,D10,E10)</f>
        <v/>
      </c>
      <c r="G10" s="34" t="n">
        <v>52764</v>
      </c>
    </row>
    <row r="11">
      <c r="A11" s="31" t="inlineStr">
        <is>
          <t xml:space="preserve">    Расходные материалы ПТ</t>
        </is>
      </c>
      <c r="B11" s="32" t="n"/>
      <c r="C11" s="32" t="n">
        <v>5000</v>
      </c>
      <c r="D11" s="32" t="n"/>
      <c r="E11" s="32" t="n">
        <v>5000</v>
      </c>
      <c r="F11" s="33">
        <f>SUM(B11,C11,D11,E11)</f>
        <v/>
      </c>
      <c r="G11" s="34" t="n">
        <v>10000</v>
      </c>
    </row>
    <row r="12">
      <c r="A12" s="35" t="inlineStr">
        <is>
          <t xml:space="preserve">  Итого переменные</t>
        </is>
      </c>
      <c r="B12" s="36">
        <f>SUM(B10,B11)</f>
        <v/>
      </c>
      <c r="C12" s="36">
        <f>SUM(C10,C11)</f>
        <v/>
      </c>
      <c r="D12" s="36">
        <f>SUM(D10,D11)</f>
        <v/>
      </c>
      <c r="E12" s="36">
        <f>SUM(E10,E11)</f>
        <v/>
      </c>
      <c r="F12" s="36">
        <f>SUM(F10,F11)</f>
        <v/>
      </c>
      <c r="G12" s="34">
        <f>SUM(G10,G11)</f>
        <v/>
      </c>
    </row>
    <row r="13">
      <c r="A13" s="29" t="inlineStr">
        <is>
          <t xml:space="preserve">  ФОТ прямой (МОП + ПТ)</t>
        </is>
      </c>
      <c r="B13" s="30" t="n"/>
      <c r="C13" s="30" t="n"/>
      <c r="D13" s="30" t="n"/>
      <c r="E13" s="30" t="n"/>
      <c r="F13" s="30" t="n"/>
      <c r="G13" s="30" t="n"/>
    </row>
    <row r="14">
      <c r="A14" s="8" t="inlineStr">
        <is>
          <t xml:space="preserve">    Заработная плата МОП</t>
        </is>
      </c>
      <c r="B14" s="37" t="n">
        <v>209689</v>
      </c>
      <c r="C14" s="37" t="n">
        <v>210030</v>
      </c>
      <c r="D14" s="37" t="n">
        <v>209689</v>
      </c>
      <c r="E14" s="37" t="n">
        <v>210030</v>
      </c>
      <c r="F14" s="38">
        <f>SUM(B14,C14,D14,E14)</f>
        <v/>
      </c>
      <c r="G14" s="34" t="n">
        <v>839438</v>
      </c>
    </row>
    <row r="15">
      <c r="A15" s="8" t="inlineStr">
        <is>
          <t xml:space="preserve">    Заработная плата ПТ</t>
        </is>
      </c>
      <c r="B15" s="37" t="n">
        <v>294494</v>
      </c>
      <c r="C15" s="37" t="n">
        <v>258000</v>
      </c>
      <c r="D15" s="37" t="n">
        <v>294494</v>
      </c>
      <c r="E15" s="37" t="n">
        <v>258000</v>
      </c>
      <c r="F15" s="38">
        <f>SUM(B15,C15,D15,E15)</f>
        <v/>
      </c>
      <c r="G15" s="34" t="n">
        <v>1104988</v>
      </c>
    </row>
    <row r="16">
      <c r="A16" s="8" t="inlineStr">
        <is>
          <t xml:space="preserve">    Налоги с ФОТ (МОП)</t>
        </is>
      </c>
      <c r="B16" s="37" t="n">
        <v>19188</v>
      </c>
      <c r="C16" s="37" t="n">
        <v>64800</v>
      </c>
      <c r="D16" s="37" t="n">
        <v>19188</v>
      </c>
      <c r="E16" s="37" t="n">
        <v>42000</v>
      </c>
      <c r="F16" s="38">
        <f>SUM(B16,C16,D16,E16)</f>
        <v/>
      </c>
      <c r="G16" s="34" t="n">
        <v>145176</v>
      </c>
    </row>
    <row r="17">
      <c r="A17" s="8" t="inlineStr">
        <is>
          <t xml:space="preserve">    Налоги с ФОТ (ПТ)</t>
        </is>
      </c>
      <c r="B17" s="37" t="n">
        <v>13381</v>
      </c>
      <c r="C17" s="37" t="n">
        <v>5013</v>
      </c>
      <c r="D17" s="37" t="n">
        <v>13381</v>
      </c>
      <c r="E17" s="37" t="n"/>
      <c r="F17" s="38">
        <f>SUM(B17,C17,D17,E17)</f>
        <v/>
      </c>
      <c r="G17" s="34" t="n">
        <v>31775</v>
      </c>
    </row>
    <row r="18">
      <c r="A18" s="7" t="inlineStr">
        <is>
          <t xml:space="preserve">  Итого ФОТ прямой</t>
        </is>
      </c>
      <c r="B18" s="38">
        <f>SUM(B14,B15,B16,B17)</f>
        <v/>
      </c>
      <c r="C18" s="38">
        <f>SUM(C14,C15,C16,C17)</f>
        <v/>
      </c>
      <c r="D18" s="38">
        <f>SUM(D14,D15,D16,D17)</f>
        <v/>
      </c>
      <c r="E18" s="38">
        <f>SUM(E14,E15,E16,E17)</f>
        <v/>
      </c>
      <c r="F18" s="38">
        <f>SUM(F14,F15,F16,F17)</f>
        <v/>
      </c>
      <c r="G18" s="28">
        <f>SUM(G14,G15,G16,G17)</f>
        <v/>
      </c>
    </row>
    <row r="19">
      <c r="A19" s="31" t="inlineStr">
        <is>
          <t xml:space="preserve">    Ремонт оборудования (ПТ)</t>
        </is>
      </c>
      <c r="B19" s="32" t="n">
        <v>1019</v>
      </c>
      <c r="C19" s="32" t="n"/>
      <c r="D19" s="32" t="n">
        <v>1019</v>
      </c>
      <c r="E19" s="32" t="n"/>
      <c r="F19" s="33">
        <f>SUM(B19,C19,D19,E19)</f>
        <v/>
      </c>
      <c r="G19" s="34" t="n">
        <v>2038</v>
      </c>
    </row>
    <row r="20">
      <c r="A20" s="29" t="inlineStr">
        <is>
          <t xml:space="preserve">  ФОТ АУП + Общехозяйственные</t>
        </is>
      </c>
      <c r="B20" s="30" t="n"/>
      <c r="C20" s="30" t="n"/>
      <c r="D20" s="30" t="n"/>
      <c r="E20" s="30" t="n"/>
      <c r="F20" s="30" t="n"/>
      <c r="G20" s="30" t="n"/>
    </row>
    <row r="21">
      <c r="A21" s="8" t="inlineStr">
        <is>
          <t xml:space="preserve">    Заработная плата МО АУП</t>
        </is>
      </c>
      <c r="B21" s="37" t="n">
        <v>60000</v>
      </c>
      <c r="C21" s="37" t="n">
        <v>60000</v>
      </c>
      <c r="D21" s="37" t="n">
        <v>60000</v>
      </c>
      <c r="E21" s="37" t="n">
        <v>60000</v>
      </c>
      <c r="F21" s="38">
        <f>SUM(B21,C21,D21,E21)</f>
        <v/>
      </c>
      <c r="G21" s="34" t="n">
        <v>240000</v>
      </c>
    </row>
    <row r="22">
      <c r="A22" s="31" t="inlineStr">
        <is>
          <t xml:space="preserve">    Аутсорс (направления)</t>
        </is>
      </c>
      <c r="B22" s="32" t="n">
        <v>10000</v>
      </c>
      <c r="C22" s="32" t="n">
        <v>7500</v>
      </c>
      <c r="D22" s="32" t="n">
        <v>10000</v>
      </c>
      <c r="E22" s="32" t="n">
        <v>2500</v>
      </c>
      <c r="F22" s="33">
        <f>SUM(B22,C22,D22,E22)</f>
        <v/>
      </c>
      <c r="G22" s="34" t="n">
        <v>30000</v>
      </c>
    </row>
    <row r="23">
      <c r="A23" s="31" t="inlineStr">
        <is>
          <t xml:space="preserve">    Инструменты: ГСМ</t>
        </is>
      </c>
      <c r="B23" s="32" t="n">
        <v>2000</v>
      </c>
      <c r="C23" s="32" t="n">
        <v>1000</v>
      </c>
      <c r="D23" s="32" t="n">
        <v>2000</v>
      </c>
      <c r="E23" s="32" t="n">
        <v>1000</v>
      </c>
      <c r="F23" s="33">
        <f>SUM(B23,C23,D23,E23)</f>
        <v/>
      </c>
      <c r="G23" s="34" t="n">
        <v>6000</v>
      </c>
    </row>
    <row r="24">
      <c r="A24" s="8" t="inlineStr">
        <is>
          <t xml:space="preserve">    Налоги с ФОТ (ИП)</t>
        </is>
      </c>
      <c r="B24" s="37" t="n">
        <v>26500</v>
      </c>
      <c r="C24" s="37" t="n">
        <v>36960</v>
      </c>
      <c r="D24" s="37" t="n">
        <v>26500</v>
      </c>
      <c r="E24" s="37" t="n">
        <v>36960</v>
      </c>
      <c r="F24" s="38">
        <f>SUM(B24,C24,D24,E24)</f>
        <v/>
      </c>
      <c r="G24" s="34" t="n">
        <v>126920</v>
      </c>
    </row>
    <row r="25">
      <c r="A25" s="31" t="inlineStr">
        <is>
          <t xml:space="preserve">    Комиссия за перевод ЗП</t>
        </is>
      </c>
      <c r="B25" s="32" t="n">
        <v>1000</v>
      </c>
      <c r="C25" s="32" t="n"/>
      <c r="D25" s="32" t="n">
        <v>1000</v>
      </c>
      <c r="E25" s="32" t="n"/>
      <c r="F25" s="33">
        <f>SUM(B25,C25,D25,E25)</f>
        <v/>
      </c>
      <c r="G25" s="34" t="n">
        <v>2000</v>
      </c>
    </row>
    <row r="26">
      <c r="A26" s="7" t="inlineStr">
        <is>
          <t xml:space="preserve">  Итого ФОТ АУП + Общехоз</t>
        </is>
      </c>
      <c r="B26" s="38">
        <f>SUM(B21,B22,B23,B24,B25)</f>
        <v/>
      </c>
      <c r="C26" s="38">
        <f>SUM(C21,C22,C23,C24,C25)</f>
        <v/>
      </c>
      <c r="D26" s="38">
        <f>SUM(D21,D22,D23,D24,D25)</f>
        <v/>
      </c>
      <c r="E26" s="38">
        <f>SUM(E21,E22,E23,E24,E25)</f>
        <v/>
      </c>
      <c r="F26" s="38">
        <f>SUM(F21,F22,F23,F24,F25)</f>
        <v/>
      </c>
      <c r="G26" s="28">
        <f>SUM(G21,G22,G23,G24,G25)</f>
        <v/>
      </c>
    </row>
    <row r="27">
      <c r="A27" s="39" t="inlineStr">
        <is>
          <t>ИТОГО ПРЯМЫЕ РАСХОДЫ</t>
        </is>
      </c>
      <c r="B27" s="40">
        <f>SUM(B12,B18,B19,B26)</f>
        <v/>
      </c>
      <c r="C27" s="40">
        <f>SUM(C12,C18,C19,C26)</f>
        <v/>
      </c>
      <c r="D27" s="40">
        <f>SUM(D12,D18,D19,D26)</f>
        <v/>
      </c>
      <c r="E27" s="40">
        <f>SUM(E12,E18,E19,E26)</f>
        <v/>
      </c>
      <c r="F27" s="40">
        <f>SUM(F12,F18,F19,F26)</f>
        <v/>
      </c>
      <c r="G27" s="28">
        <f>SUM(G12,G18,G19,G26)</f>
        <v/>
      </c>
    </row>
    <row r="28">
      <c r="A28" s="21" t="n"/>
      <c r="B28" s="21" t="n"/>
      <c r="C28" s="21" t="n"/>
      <c r="D28" s="21" t="n"/>
      <c r="E28" s="21" t="n"/>
      <c r="F28" s="21" t="n"/>
      <c r="G28" s="21" t="n"/>
    </row>
    <row r="29">
      <c r="A29" s="16" t="inlineStr">
        <is>
          <t>ВАЛОВАЯ ПРИБЫЛЬ</t>
        </is>
      </c>
      <c r="B29" s="27">
        <f>B6-B27</f>
        <v/>
      </c>
      <c r="C29" s="27">
        <f>C6-C27</f>
        <v/>
      </c>
      <c r="D29" s="27">
        <f>D6-D27</f>
        <v/>
      </c>
      <c r="E29" s="27">
        <f>E6-E27</f>
        <v/>
      </c>
      <c r="F29" s="27">
        <f>F6-F27</f>
        <v/>
      </c>
      <c r="G29" s="26">
        <f>G6-G27</f>
        <v/>
      </c>
    </row>
    <row r="30">
      <c r="A30" s="41" t="inlineStr">
        <is>
          <t xml:space="preserve">  Валовая рентабельность</t>
        </is>
      </c>
      <c r="B30" s="42">
        <f>IFERROR(B29/B6,"-")</f>
        <v/>
      </c>
      <c r="C30" s="42">
        <f>IFERROR(C29/C6,"-")</f>
        <v/>
      </c>
      <c r="D30" s="42">
        <f>IFERROR(D29/D6,"-")</f>
        <v/>
      </c>
      <c r="E30" s="42">
        <f>IFERROR(E29/E6,"-")</f>
        <v/>
      </c>
      <c r="F30" s="42">
        <f>IFERROR(F29/F6,"-")</f>
        <v/>
      </c>
      <c r="G30" s="43">
        <f>IFERROR(G29/G6,"-")</f>
        <v/>
      </c>
    </row>
    <row r="31">
      <c r="A31" s="21" t="n"/>
      <c r="B31" s="21" t="n"/>
      <c r="C31" s="21" t="n"/>
      <c r="D31" s="21" t="n"/>
      <c r="E31" s="21" t="n"/>
      <c r="F31" s="21" t="n"/>
      <c r="G31" s="21" t="n"/>
    </row>
    <row r="32">
      <c r="A32" s="22" t="inlineStr">
        <is>
          <t>🏢  КОСВЕННЫЕ РАСХОДЫ (БЭК-ОФИС)</t>
        </is>
      </c>
      <c r="B32" s="23" t="n"/>
      <c r="C32" s="23" t="n"/>
      <c r="D32" s="23" t="n"/>
      <c r="E32" s="23" t="n"/>
      <c r="F32" s="23" t="n"/>
      <c r="G32" s="23" t="n"/>
    </row>
    <row r="33">
      <c r="A33" s="31" t="inlineStr">
        <is>
          <t xml:space="preserve">  Расход Бэк-Офис</t>
        </is>
      </c>
      <c r="B33" s="32" t="n">
        <v>55821</v>
      </c>
      <c r="C33" s="32" t="n">
        <v>84919</v>
      </c>
      <c r="D33" s="32" t="n">
        <v>55821</v>
      </c>
      <c r="E33" s="32" t="n">
        <v>84919</v>
      </c>
      <c r="F33" s="33">
        <f>SUM(B33,C33,D33,E33)</f>
        <v/>
      </c>
      <c r="G33" s="34" t="n">
        <v>281480</v>
      </c>
    </row>
    <row r="34">
      <c r="A34" s="16" t="inlineStr">
        <is>
          <t>ИТОГО КОСВЕННЫЕ</t>
        </is>
      </c>
      <c r="B34" s="27">
        <f>SUM(B33)</f>
        <v/>
      </c>
      <c r="C34" s="27">
        <f>SUM(C33)</f>
        <v/>
      </c>
      <c r="D34" s="27">
        <f>SUM(D33)</f>
        <v/>
      </c>
      <c r="E34" s="27">
        <f>SUM(E33)</f>
        <v/>
      </c>
      <c r="F34" s="27">
        <f>SUM(F33)</f>
        <v/>
      </c>
      <c r="G34" s="28">
        <f>SUM(G33)</f>
        <v/>
      </c>
    </row>
    <row r="35">
      <c r="A35" s="21" t="n"/>
      <c r="B35" s="21" t="n"/>
      <c r="C35" s="21" t="n"/>
      <c r="D35" s="21" t="n"/>
      <c r="E35" s="21" t="n"/>
      <c r="F35" s="21" t="n"/>
      <c r="G35" s="21" t="n"/>
    </row>
    <row r="36">
      <c r="A36" s="16" t="inlineStr">
        <is>
          <t>ОПЕРАЦИОННАЯ ПРИБЫЛЬ</t>
        </is>
      </c>
      <c r="B36" s="27">
        <f>B29-B34</f>
        <v/>
      </c>
      <c r="C36" s="27">
        <f>C29-C34</f>
        <v/>
      </c>
      <c r="D36" s="27">
        <f>D29-D34</f>
        <v/>
      </c>
      <c r="E36" s="27">
        <f>E29-E34</f>
        <v/>
      </c>
      <c r="F36" s="27">
        <f>F29-F34</f>
        <v/>
      </c>
      <c r="G36" s="26">
        <f>G29-G34</f>
        <v/>
      </c>
    </row>
    <row r="37">
      <c r="A37" s="41" t="inlineStr">
        <is>
          <t xml:space="preserve">  Операционная рентабельность</t>
        </is>
      </c>
      <c r="B37" s="42">
        <f>IFERROR(B36/B6,"-")</f>
        <v/>
      </c>
      <c r="C37" s="42">
        <f>IFERROR(C36/C6,"-")</f>
        <v/>
      </c>
      <c r="D37" s="42">
        <f>IFERROR(D36/D6,"-")</f>
        <v/>
      </c>
      <c r="E37" s="42">
        <f>IFERROR(E36/E6,"-")</f>
        <v/>
      </c>
      <c r="F37" s="42">
        <f>IFERROR(F36/F6,"-")</f>
        <v/>
      </c>
      <c r="G37" s="43">
        <f>IFERROR(G36/G6,"-")</f>
        <v/>
      </c>
    </row>
    <row r="38">
      <c r="A38" s="21" t="n"/>
      <c r="B38" s="21" t="n"/>
      <c r="C38" s="21" t="n"/>
      <c r="D38" s="21" t="n"/>
      <c r="E38" s="21" t="n"/>
      <c r="F38" s="21" t="n"/>
      <c r="G38" s="21" t="n"/>
    </row>
    <row r="39">
      <c r="A39" s="22" t="inlineStr">
        <is>
          <t>📋  НАЛОГИ</t>
        </is>
      </c>
      <c r="B39" s="23" t="n"/>
      <c r="C39" s="23" t="n"/>
      <c r="D39" s="23" t="n"/>
      <c r="E39" s="23" t="n"/>
      <c r="F39" s="23" t="n"/>
      <c r="G39" s="23" t="n"/>
    </row>
    <row r="40">
      <c r="A40" s="31" t="inlineStr">
        <is>
          <t xml:space="preserve">  Налоги УСН</t>
        </is>
      </c>
      <c r="B40" s="32" t="n"/>
      <c r="C40" s="32" t="n">
        <v>10000</v>
      </c>
      <c r="D40" s="32" t="n"/>
      <c r="E40" s="32" t="n">
        <v>10000</v>
      </c>
      <c r="F40" s="33">
        <f>SUM(B40,C40,D40,E40)</f>
        <v/>
      </c>
      <c r="G40" s="34" t="n">
        <v>20000</v>
      </c>
    </row>
    <row r="41">
      <c r="A41" s="31" t="inlineStr">
        <is>
          <t xml:space="preserve">  НДС 5%</t>
        </is>
      </c>
      <c r="B41" s="32" t="n">
        <v>38679</v>
      </c>
      <c r="C41" s="32" t="n">
        <v>31141</v>
      </c>
      <c r="D41" s="32" t="n">
        <v>38679</v>
      </c>
      <c r="E41" s="32" t="n">
        <v>31141</v>
      </c>
      <c r="F41" s="33">
        <f>SUM(B41,C41,D41,E41)</f>
        <v/>
      </c>
      <c r="G41" s="26" t="n">
        <v>183076</v>
      </c>
    </row>
    <row r="42">
      <c r="A42" s="16" t="inlineStr">
        <is>
          <t>ИТОГО НАЛОГИ</t>
        </is>
      </c>
      <c r="B42" s="27">
        <f>SUM(B40,B41)</f>
        <v/>
      </c>
      <c r="C42" s="27">
        <f>SUM(C40,C41)</f>
        <v/>
      </c>
      <c r="D42" s="27">
        <f>SUM(D40,D41)</f>
        <v/>
      </c>
      <c r="E42" s="27">
        <f>SUM(E40,E41)</f>
        <v/>
      </c>
      <c r="F42" s="27">
        <f>SUM(F40,F41)</f>
        <v/>
      </c>
      <c r="G42" s="28">
        <f>SUM(G40,G41)</f>
        <v/>
      </c>
    </row>
    <row r="43">
      <c r="A43" s="21" t="n"/>
      <c r="B43" s="21" t="n"/>
      <c r="C43" s="21" t="n"/>
      <c r="D43" s="21" t="n"/>
      <c r="E43" s="21" t="n"/>
      <c r="F43" s="21" t="n"/>
      <c r="G43" s="21" t="n"/>
    </row>
    <row r="44">
      <c r="A44" s="16" t="inlineStr">
        <is>
          <t>✅ ЧИСТАЯ ПРИБЫЛЬ</t>
        </is>
      </c>
      <c r="B44" s="27">
        <f>B36-B42</f>
        <v/>
      </c>
      <c r="C44" s="27">
        <f>C36-C42</f>
        <v/>
      </c>
      <c r="D44" s="27">
        <f>D36-D42</f>
        <v/>
      </c>
      <c r="E44" s="27">
        <f>E36-E42</f>
        <v/>
      </c>
      <c r="F44" s="27">
        <f>F36-F42</f>
        <v/>
      </c>
      <c r="G44" s="26">
        <f>G36-G42</f>
        <v/>
      </c>
    </row>
    <row r="45">
      <c r="A45" s="41" t="inlineStr">
        <is>
          <t xml:space="preserve">  Рентабельность чистой прибыли</t>
        </is>
      </c>
      <c r="B45" s="42">
        <f>IFERROR(B44/B6,"-")</f>
        <v/>
      </c>
      <c r="C45" s="42">
        <f>IFERROR(C44/C6,"-")</f>
        <v/>
      </c>
      <c r="D45" s="42">
        <f>IFERROR(D44/D6,"-")</f>
        <v/>
      </c>
      <c r="E45" s="42">
        <f>IFERROR(E44/E6,"-")</f>
        <v/>
      </c>
      <c r="F45" s="42">
        <f>IFERROR(F44/F6,"-")</f>
        <v/>
      </c>
      <c r="G45" s="43">
        <f>IFERROR(G44/G6,"-")</f>
        <v/>
      </c>
    </row>
    <row r="46">
      <c r="A46" s="21" t="n"/>
      <c r="B46" s="21" t="n"/>
      <c r="C46" s="21" t="n"/>
      <c r="D46" s="21" t="n"/>
      <c r="E46" s="21" t="n"/>
      <c r="F46" s="21" t="n"/>
      <c r="G46" s="21" t="n"/>
    </row>
    <row r="47">
      <c r="A47" s="2" t="inlineStr">
        <is>
          <t>💡  РЕЗУЛЬТАТ СЦЕНАРИЯ</t>
        </is>
      </c>
    </row>
    <row r="48">
      <c r="A48" s="5" t="inlineStr">
        <is>
          <t>Текущая выручка (4 мес.)</t>
        </is>
      </c>
      <c r="B48" s="44" t="inlineStr">
        <is>
          <t>2,615,844 ₽</t>
        </is>
      </c>
      <c r="C48" s="45" t="n"/>
      <c r="D48" s="45" t="n"/>
      <c r="E48" s="45" t="n"/>
      <c r="F48" s="45" t="n"/>
      <c r="G48" s="45" t="n"/>
    </row>
    <row r="49">
      <c r="A49" s="5" t="inlineStr">
        <is>
          <t>Прирост ФОТ (0%)</t>
        </is>
      </c>
      <c r="B49" s="44" t="inlineStr">
        <is>
          <t>—</t>
        </is>
      </c>
      <c r="C49" s="45" t="n"/>
      <c r="D49" s="45" t="n"/>
      <c r="E49" s="45" t="n"/>
      <c r="F49" s="45" t="n"/>
      <c r="G49" s="45" t="n"/>
    </row>
    <row r="50">
      <c r="A50" s="5" t="inlineStr">
        <is>
          <t>Цель: рентабельность ЧП</t>
        </is>
      </c>
      <c r="B50" s="44" t="inlineStr">
        <is>
          <t>20%</t>
        </is>
      </c>
      <c r="C50" s="45" t="n"/>
      <c r="D50" s="45" t="n"/>
      <c r="E50" s="45" t="n"/>
      <c r="F50" s="45" t="n"/>
      <c r="G50" s="45" t="n"/>
    </row>
    <row r="51">
      <c r="A51" s="5" t="inlineStr">
        <is>
          <t>───────────────────────────────────</t>
        </is>
      </c>
      <c r="B51" s="44" t="inlineStr"/>
      <c r="C51" s="45" t="n"/>
      <c r="D51" s="45" t="n"/>
      <c r="E51" s="45" t="n"/>
      <c r="F51" s="45" t="n"/>
      <c r="G51" s="45" t="n"/>
    </row>
    <row r="52">
      <c r="A52" s="16" t="inlineStr">
        <is>
          <t>Требуемая выручка (новый контракт)</t>
        </is>
      </c>
      <c r="B52" s="46" t="inlineStr">
        <is>
          <t>3,844,567 ₽</t>
        </is>
      </c>
      <c r="C52" s="47" t="n"/>
      <c r="D52" s="47" t="n"/>
      <c r="E52" s="47" t="n"/>
      <c r="F52" s="47" t="n"/>
      <c r="G52" s="47" t="n"/>
    </row>
    <row r="53">
      <c r="A53" s="16" t="inlineStr">
        <is>
          <t>Прирост выручки</t>
        </is>
      </c>
      <c r="B53" s="46" t="inlineStr">
        <is>
          <t>+1,228,723 ₽</t>
        </is>
      </c>
      <c r="C53" s="47" t="n"/>
      <c r="D53" s="47" t="n"/>
      <c r="E53" s="47" t="n"/>
      <c r="F53" s="47" t="n"/>
      <c r="G53" s="47" t="n"/>
    </row>
    <row r="54">
      <c r="A54" s="16" t="inlineStr">
        <is>
          <t>Прирост, %</t>
        </is>
      </c>
      <c r="B54" s="46" t="inlineStr">
        <is>
          <t>+47.0%</t>
        </is>
      </c>
      <c r="C54" s="47" t="n"/>
      <c r="D54" s="47" t="n"/>
      <c r="E54" s="47" t="n"/>
      <c r="F54" s="47" t="n"/>
      <c r="G54" s="47" t="n"/>
    </row>
    <row r="55">
      <c r="A55" s="5" t="inlineStr">
        <is>
          <t>───────────────────────────────────</t>
        </is>
      </c>
      <c r="B55" s="44" t="inlineStr"/>
      <c r="C55" s="45" t="n"/>
      <c r="D55" s="45" t="n"/>
      <c r="E55" s="45" t="n"/>
      <c r="F55" s="45" t="n"/>
      <c r="G55" s="45" t="n"/>
    </row>
    <row r="56">
      <c r="A56" s="16" t="inlineStr">
        <is>
          <t>Новая месячная ставка контракта</t>
        </is>
      </c>
      <c r="B56" s="46" t="inlineStr">
        <is>
          <t>961,142 ₽/мес</t>
        </is>
      </c>
      <c r="C56" s="47" t="n"/>
      <c r="D56" s="47" t="n"/>
      <c r="E56" s="47" t="n"/>
      <c r="F56" s="47" t="n"/>
      <c r="G56" s="47" t="n"/>
    </row>
    <row r="57">
      <c r="A57" s="5" t="inlineStr">
        <is>
          <t>Текущая месячная ставка</t>
        </is>
      </c>
      <c r="B57" s="44" t="inlineStr">
        <is>
          <t>653,961 ₽/мес</t>
        </is>
      </c>
      <c r="C57" s="45" t="n"/>
      <c r="D57" s="45" t="n"/>
      <c r="E57" s="45" t="n"/>
      <c r="F57" s="45" t="n"/>
      <c r="G57" s="45" t="n"/>
    </row>
    <row r="58">
      <c r="A58" s="16" t="inlineStr">
        <is>
          <t>Прирост мес. ставки</t>
        </is>
      </c>
      <c r="B58" s="46" t="inlineStr">
        <is>
          <t>+307,181 ₽/мес</t>
        </is>
      </c>
      <c r="C58" s="47" t="n"/>
      <c r="D58" s="47" t="n"/>
      <c r="E58" s="47" t="n"/>
      <c r="F58" s="47" t="n"/>
      <c r="G58" s="47" t="n"/>
    </row>
    <row r="59">
      <c r="A59" s="5" t="inlineStr">
        <is>
          <t>───────────────────────────────────</t>
        </is>
      </c>
      <c r="B59" s="44" t="inlineStr"/>
      <c r="C59" s="45" t="n"/>
      <c r="D59" s="45" t="n"/>
      <c r="E59" s="45" t="n"/>
      <c r="F59" s="45" t="n"/>
      <c r="G59" s="45" t="n"/>
    </row>
    <row r="60">
      <c r="A60" s="16" t="inlineStr">
        <is>
          <t>Чистая прибыль (сценарий)</t>
        </is>
      </c>
      <c r="B60" s="46" t="inlineStr">
        <is>
          <t>768,913 ₽</t>
        </is>
      </c>
      <c r="C60" s="47" t="n"/>
      <c r="D60" s="47" t="n"/>
      <c r="E60" s="47" t="n"/>
      <c r="F60" s="47" t="n"/>
      <c r="G60" s="47" t="n"/>
    </row>
    <row r="61">
      <c r="A61" s="16" t="inlineStr">
        <is>
          <t>Рентабельность ЧП (сценарий)</t>
        </is>
      </c>
      <c r="B61" s="46" t="inlineStr">
        <is>
          <t>20.0%</t>
        </is>
      </c>
      <c r="C61" s="47" t="n"/>
      <c r="D61" s="47" t="n"/>
      <c r="E61" s="47" t="n"/>
      <c r="F61" s="47" t="n"/>
      <c r="G61" s="47" t="n"/>
    </row>
  </sheetData>
  <mergeCells count="9">
    <mergeCell ref="A32:G32"/>
    <mergeCell ref="A13:G13"/>
    <mergeCell ref="A1:G1"/>
    <mergeCell ref="A9:G9"/>
    <mergeCell ref="A8:G8"/>
    <mergeCell ref="A39:G39"/>
    <mergeCell ref="A4:G4"/>
    <mergeCell ref="A20:G20"/>
    <mergeCell ref="A47:G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7" customWidth="1" min="7" max="7"/>
  </cols>
  <sheetData>
    <row r="1" ht="26" customHeight="1">
      <c r="A1" s="1" t="inlineStr">
        <is>
          <t>ЖК Астрид  |  Сценарий: ФОТ +30%  →  цель ЧП 20%</t>
        </is>
      </c>
    </row>
    <row r="2">
      <c r="A2" s="19" t="inlineStr">
        <is>
          <t>Статья</t>
        </is>
      </c>
      <c r="B2" s="19" t="inlineStr">
        <is>
          <t>Июнь</t>
        </is>
      </c>
      <c r="C2" s="19" t="inlineStr">
        <is>
          <t>Июль</t>
        </is>
      </c>
      <c r="D2" s="19" t="inlineStr">
        <is>
          <t>Август</t>
        </is>
      </c>
      <c r="E2" s="19" t="inlineStr">
        <is>
          <t>Сентябрь</t>
        </is>
      </c>
      <c r="F2" s="19" t="inlineStr">
        <is>
          <t>Итого</t>
        </is>
      </c>
      <c r="G2" s="20" t="inlineStr">
        <is>
          <t>Сценарий ФОТ +30% → ЧП 20%</t>
        </is>
      </c>
    </row>
    <row r="3">
      <c r="A3" s="21" t="n"/>
      <c r="B3" s="21" t="n"/>
      <c r="C3" s="21" t="n"/>
      <c r="D3" s="21" t="n"/>
      <c r="E3" s="21" t="n"/>
      <c r="F3" s="21" t="n"/>
      <c r="G3" s="21" t="n"/>
    </row>
    <row r="4">
      <c r="A4" s="22" t="inlineStr">
        <is>
          <t>📈  ВЫРУЧКА</t>
        </is>
      </c>
      <c r="B4" s="23" t="n"/>
      <c r="C4" s="23" t="n"/>
      <c r="D4" s="23" t="n"/>
      <c r="E4" s="23" t="n"/>
      <c r="F4" s="23" t="n"/>
      <c r="G4" s="23" t="n"/>
    </row>
    <row r="5">
      <c r="A5" s="15" t="inlineStr">
        <is>
          <t xml:space="preserve">  Реализация услуг Клининг (ОД)</t>
        </is>
      </c>
      <c r="B5" s="24" t="n">
        <v>653961</v>
      </c>
      <c r="C5" s="24" t="n">
        <v>653961</v>
      </c>
      <c r="D5" s="24" t="n">
        <v>653961</v>
      </c>
      <c r="E5" s="24" t="n">
        <v>653961</v>
      </c>
      <c r="F5" s="25">
        <f>SUM(B5,C5,D5,E5)</f>
        <v/>
      </c>
      <c r="G5" s="26" t="n">
        <v>4836736</v>
      </c>
    </row>
    <row r="6">
      <c r="A6" s="16" t="inlineStr">
        <is>
          <t>ИТОГО ВЫРУЧКА</t>
        </is>
      </c>
      <c r="B6" s="27">
        <f>SUM(B5)</f>
        <v/>
      </c>
      <c r="C6" s="27">
        <f>SUM(C5)</f>
        <v/>
      </c>
      <c r="D6" s="27">
        <f>SUM(D5)</f>
        <v/>
      </c>
      <c r="E6" s="27">
        <f>SUM(E5)</f>
        <v/>
      </c>
      <c r="F6" s="27">
        <f>SUM(F5)</f>
        <v/>
      </c>
      <c r="G6" s="28">
        <f>SUM(G5)</f>
        <v/>
      </c>
    </row>
    <row r="7">
      <c r="A7" s="21" t="n"/>
      <c r="B7" s="21" t="n"/>
      <c r="C7" s="21" t="n"/>
      <c r="D7" s="21" t="n"/>
      <c r="E7" s="21" t="n"/>
      <c r="F7" s="21" t="n"/>
      <c r="G7" s="21" t="n"/>
    </row>
    <row r="8">
      <c r="A8" s="22" t="inlineStr">
        <is>
          <t>💸  ПРЯМЫЕ РАСХОДЫ</t>
        </is>
      </c>
      <c r="B8" s="23" t="n"/>
      <c r="C8" s="23" t="n"/>
      <c r="D8" s="23" t="n"/>
      <c r="E8" s="23" t="n"/>
      <c r="F8" s="23" t="n"/>
      <c r="G8" s="23" t="n"/>
    </row>
    <row r="9">
      <c r="A9" s="29" t="inlineStr">
        <is>
          <t xml:space="preserve">  Переменные расходы</t>
        </is>
      </c>
      <c r="B9" s="30" t="n"/>
      <c r="C9" s="30" t="n"/>
      <c r="D9" s="30" t="n"/>
      <c r="E9" s="30" t="n"/>
      <c r="F9" s="30" t="n"/>
      <c r="G9" s="30" t="n"/>
    </row>
    <row r="10">
      <c r="A10" s="31" t="inlineStr">
        <is>
          <t xml:space="preserve">    Расходные материалы МОП</t>
        </is>
      </c>
      <c r="B10" s="32" t="n">
        <v>10588</v>
      </c>
      <c r="C10" s="32" t="n">
        <v>21588</v>
      </c>
      <c r="D10" s="32" t="n">
        <v>10588</v>
      </c>
      <c r="E10" s="32" t="n">
        <v>10000</v>
      </c>
      <c r="F10" s="33">
        <f>SUM(B10,C10,D10,E10)</f>
        <v/>
      </c>
      <c r="G10" s="34" t="n">
        <v>52764</v>
      </c>
    </row>
    <row r="11">
      <c r="A11" s="31" t="inlineStr">
        <is>
          <t xml:space="preserve">    Расходные материалы ПТ</t>
        </is>
      </c>
      <c r="B11" s="32" t="n"/>
      <c r="C11" s="32" t="n">
        <v>5000</v>
      </c>
      <c r="D11" s="32" t="n"/>
      <c r="E11" s="32" t="n">
        <v>5000</v>
      </c>
      <c r="F11" s="33">
        <f>SUM(B11,C11,D11,E11)</f>
        <v/>
      </c>
      <c r="G11" s="34" t="n">
        <v>10000</v>
      </c>
    </row>
    <row r="12">
      <c r="A12" s="35" t="inlineStr">
        <is>
          <t xml:space="preserve">  Итого переменные</t>
        </is>
      </c>
      <c r="B12" s="36">
        <f>SUM(B10,B11)</f>
        <v/>
      </c>
      <c r="C12" s="36">
        <f>SUM(C10,C11)</f>
        <v/>
      </c>
      <c r="D12" s="36">
        <f>SUM(D10,D11)</f>
        <v/>
      </c>
      <c r="E12" s="36">
        <f>SUM(E10,E11)</f>
        <v/>
      </c>
      <c r="F12" s="36">
        <f>SUM(F10,F11)</f>
        <v/>
      </c>
      <c r="G12" s="34">
        <f>SUM(G10,G11)</f>
        <v/>
      </c>
    </row>
    <row r="13">
      <c r="A13" s="29" t="inlineStr">
        <is>
          <t xml:space="preserve">  ФОТ прямой (МОП + ПТ)</t>
        </is>
      </c>
      <c r="B13" s="30" t="n"/>
      <c r="C13" s="30" t="n"/>
      <c r="D13" s="30" t="n"/>
      <c r="E13" s="30" t="n"/>
      <c r="F13" s="30" t="n"/>
      <c r="G13" s="30" t="n"/>
    </row>
    <row r="14">
      <c r="A14" s="8" t="inlineStr">
        <is>
          <t xml:space="preserve">    Заработная плата МОП</t>
        </is>
      </c>
      <c r="B14" s="37" t="n">
        <v>209689</v>
      </c>
      <c r="C14" s="37" t="n">
        <v>210030</v>
      </c>
      <c r="D14" s="37" t="n">
        <v>209689</v>
      </c>
      <c r="E14" s="37" t="n">
        <v>210030</v>
      </c>
      <c r="F14" s="38">
        <f>SUM(B14,C14,D14,E14)</f>
        <v/>
      </c>
      <c r="G14" s="26" t="n">
        <v>1091270</v>
      </c>
    </row>
    <row r="15">
      <c r="A15" s="8" t="inlineStr">
        <is>
          <t xml:space="preserve">    Заработная плата ПТ</t>
        </is>
      </c>
      <c r="B15" s="37" t="n">
        <v>294494</v>
      </c>
      <c r="C15" s="37" t="n">
        <v>258000</v>
      </c>
      <c r="D15" s="37" t="n">
        <v>294494</v>
      </c>
      <c r="E15" s="37" t="n">
        <v>258000</v>
      </c>
      <c r="F15" s="38">
        <f>SUM(B15,C15,D15,E15)</f>
        <v/>
      </c>
      <c r="G15" s="26" t="n">
        <v>1436484</v>
      </c>
    </row>
    <row r="16">
      <c r="A16" s="8" t="inlineStr">
        <is>
          <t xml:space="preserve">    Налоги с ФОТ (МОП)</t>
        </is>
      </c>
      <c r="B16" s="37" t="n">
        <v>19188</v>
      </c>
      <c r="C16" s="37" t="n">
        <v>64800</v>
      </c>
      <c r="D16" s="37" t="n">
        <v>19188</v>
      </c>
      <c r="E16" s="37" t="n">
        <v>42000</v>
      </c>
      <c r="F16" s="38">
        <f>SUM(B16,C16,D16,E16)</f>
        <v/>
      </c>
      <c r="G16" s="26" t="n">
        <v>188728</v>
      </c>
    </row>
    <row r="17">
      <c r="A17" s="8" t="inlineStr">
        <is>
          <t xml:space="preserve">    Налоги с ФОТ (ПТ)</t>
        </is>
      </c>
      <c r="B17" s="37" t="n">
        <v>13381</v>
      </c>
      <c r="C17" s="37" t="n">
        <v>5013</v>
      </c>
      <c r="D17" s="37" t="n">
        <v>13381</v>
      </c>
      <c r="E17" s="37" t="n"/>
      <c r="F17" s="38">
        <f>SUM(B17,C17,D17,E17)</f>
        <v/>
      </c>
      <c r="G17" s="26" t="n">
        <v>41307</v>
      </c>
    </row>
    <row r="18">
      <c r="A18" s="7" t="inlineStr">
        <is>
          <t xml:space="preserve">  Итого ФОТ прямой</t>
        </is>
      </c>
      <c r="B18" s="38">
        <f>SUM(B14,B15,B16,B17)</f>
        <v/>
      </c>
      <c r="C18" s="38">
        <f>SUM(C14,C15,C16,C17)</f>
        <v/>
      </c>
      <c r="D18" s="38">
        <f>SUM(D14,D15,D16,D17)</f>
        <v/>
      </c>
      <c r="E18" s="38">
        <f>SUM(E14,E15,E16,E17)</f>
        <v/>
      </c>
      <c r="F18" s="38">
        <f>SUM(F14,F15,F16,F17)</f>
        <v/>
      </c>
      <c r="G18" s="28">
        <f>SUM(G14,G15,G16,G17)</f>
        <v/>
      </c>
    </row>
    <row r="19">
      <c r="A19" s="31" t="inlineStr">
        <is>
          <t xml:space="preserve">    Ремонт оборудования (ПТ)</t>
        </is>
      </c>
      <c r="B19" s="32" t="n">
        <v>1019</v>
      </c>
      <c r="C19" s="32" t="n"/>
      <c r="D19" s="32" t="n">
        <v>1019</v>
      </c>
      <c r="E19" s="32" t="n"/>
      <c r="F19" s="33">
        <f>SUM(B19,C19,D19,E19)</f>
        <v/>
      </c>
      <c r="G19" s="34" t="n">
        <v>2038</v>
      </c>
    </row>
    <row r="20">
      <c r="A20" s="29" t="inlineStr">
        <is>
          <t xml:space="preserve">  ФОТ АУП + Общехозяйственные</t>
        </is>
      </c>
      <c r="B20" s="30" t="n"/>
      <c r="C20" s="30" t="n"/>
      <c r="D20" s="30" t="n"/>
      <c r="E20" s="30" t="n"/>
      <c r="F20" s="30" t="n"/>
      <c r="G20" s="30" t="n"/>
    </row>
    <row r="21">
      <c r="A21" s="8" t="inlineStr">
        <is>
          <t xml:space="preserve">    Заработная плата МО АУП</t>
        </is>
      </c>
      <c r="B21" s="37" t="n">
        <v>60000</v>
      </c>
      <c r="C21" s="37" t="n">
        <v>60000</v>
      </c>
      <c r="D21" s="37" t="n">
        <v>60000</v>
      </c>
      <c r="E21" s="37" t="n">
        <v>60000</v>
      </c>
      <c r="F21" s="38">
        <f>SUM(B21,C21,D21,E21)</f>
        <v/>
      </c>
      <c r="G21" s="26" t="n">
        <v>312000</v>
      </c>
    </row>
    <row r="22">
      <c r="A22" s="31" t="inlineStr">
        <is>
          <t xml:space="preserve">    Аутсорс (направления)</t>
        </is>
      </c>
      <c r="B22" s="32" t="n">
        <v>10000</v>
      </c>
      <c r="C22" s="32" t="n">
        <v>7500</v>
      </c>
      <c r="D22" s="32" t="n">
        <v>10000</v>
      </c>
      <c r="E22" s="32" t="n">
        <v>2500</v>
      </c>
      <c r="F22" s="33">
        <f>SUM(B22,C22,D22,E22)</f>
        <v/>
      </c>
      <c r="G22" s="34" t="n">
        <v>30000</v>
      </c>
    </row>
    <row r="23">
      <c r="A23" s="31" t="inlineStr">
        <is>
          <t xml:space="preserve">    Инструменты: ГСМ</t>
        </is>
      </c>
      <c r="B23" s="32" t="n">
        <v>2000</v>
      </c>
      <c r="C23" s="32" t="n">
        <v>1000</v>
      </c>
      <c r="D23" s="32" t="n">
        <v>2000</v>
      </c>
      <c r="E23" s="32" t="n">
        <v>1000</v>
      </c>
      <c r="F23" s="33">
        <f>SUM(B23,C23,D23,E23)</f>
        <v/>
      </c>
      <c r="G23" s="34" t="n">
        <v>6000</v>
      </c>
    </row>
    <row r="24">
      <c r="A24" s="8" t="inlineStr">
        <is>
          <t xml:space="preserve">    Налоги с ФОТ (ИП)</t>
        </is>
      </c>
      <c r="B24" s="37" t="n">
        <v>26500</v>
      </c>
      <c r="C24" s="37" t="n">
        <v>36960</v>
      </c>
      <c r="D24" s="37" t="n">
        <v>26500</v>
      </c>
      <c r="E24" s="37" t="n">
        <v>36960</v>
      </c>
      <c r="F24" s="38">
        <f>SUM(B24,C24,D24,E24)</f>
        <v/>
      </c>
      <c r="G24" s="26" t="n">
        <v>164996</v>
      </c>
    </row>
    <row r="25">
      <c r="A25" s="31" t="inlineStr">
        <is>
          <t xml:space="preserve">    Комиссия за перевод ЗП</t>
        </is>
      </c>
      <c r="B25" s="32" t="n">
        <v>1000</v>
      </c>
      <c r="C25" s="32" t="n"/>
      <c r="D25" s="32" t="n">
        <v>1000</v>
      </c>
      <c r="E25" s="32" t="n"/>
      <c r="F25" s="33">
        <f>SUM(B25,C25,D25,E25)</f>
        <v/>
      </c>
      <c r="G25" s="34" t="n">
        <v>2000</v>
      </c>
    </row>
    <row r="26">
      <c r="A26" s="7" t="inlineStr">
        <is>
          <t xml:space="preserve">  Итого ФОТ АУП + Общехоз</t>
        </is>
      </c>
      <c r="B26" s="38">
        <f>SUM(B21,B22,B23,B24,B25)</f>
        <v/>
      </c>
      <c r="C26" s="38">
        <f>SUM(C21,C22,C23,C24,C25)</f>
        <v/>
      </c>
      <c r="D26" s="38">
        <f>SUM(D21,D22,D23,D24,D25)</f>
        <v/>
      </c>
      <c r="E26" s="38">
        <f>SUM(E21,E22,E23,E24,E25)</f>
        <v/>
      </c>
      <c r="F26" s="38">
        <f>SUM(F21,F22,F23,F24,F25)</f>
        <v/>
      </c>
      <c r="G26" s="28">
        <f>SUM(G21,G22,G23,G24,G25)</f>
        <v/>
      </c>
    </row>
    <row r="27">
      <c r="A27" s="39" t="inlineStr">
        <is>
          <t>ИТОГО ПРЯМЫЕ РАСХОДЫ</t>
        </is>
      </c>
      <c r="B27" s="40">
        <f>SUM(B12,B18,B19,B26)</f>
        <v/>
      </c>
      <c r="C27" s="40">
        <f>SUM(C12,C18,C19,C26)</f>
        <v/>
      </c>
      <c r="D27" s="40">
        <f>SUM(D12,D18,D19,D26)</f>
        <v/>
      </c>
      <c r="E27" s="40">
        <f>SUM(E12,E18,E19,E26)</f>
        <v/>
      </c>
      <c r="F27" s="40">
        <f>SUM(F12,F18,F19,F26)</f>
        <v/>
      </c>
      <c r="G27" s="28">
        <f>SUM(G12,G18,G19,G26)</f>
        <v/>
      </c>
    </row>
    <row r="28">
      <c r="A28" s="21" t="n"/>
      <c r="B28" s="21" t="n"/>
      <c r="C28" s="21" t="n"/>
      <c r="D28" s="21" t="n"/>
      <c r="E28" s="21" t="n"/>
      <c r="F28" s="21" t="n"/>
      <c r="G28" s="21" t="n"/>
    </row>
    <row r="29">
      <c r="A29" s="16" t="inlineStr">
        <is>
          <t>ВАЛОВАЯ ПРИБЫЛЬ</t>
        </is>
      </c>
      <c r="B29" s="27">
        <f>B6-B27</f>
        <v/>
      </c>
      <c r="C29" s="27">
        <f>C6-C27</f>
        <v/>
      </c>
      <c r="D29" s="27">
        <f>D6-D27</f>
        <v/>
      </c>
      <c r="E29" s="27">
        <f>E6-E27</f>
        <v/>
      </c>
      <c r="F29" s="27">
        <f>F6-F27</f>
        <v/>
      </c>
      <c r="G29" s="26">
        <f>G6-G27</f>
        <v/>
      </c>
    </row>
    <row r="30">
      <c r="A30" s="41" t="inlineStr">
        <is>
          <t xml:space="preserve">  Валовая рентабельность</t>
        </is>
      </c>
      <c r="B30" s="42">
        <f>IFERROR(B29/B6,"-")</f>
        <v/>
      </c>
      <c r="C30" s="42">
        <f>IFERROR(C29/C6,"-")</f>
        <v/>
      </c>
      <c r="D30" s="42">
        <f>IFERROR(D29/D6,"-")</f>
        <v/>
      </c>
      <c r="E30" s="42">
        <f>IFERROR(E29/E6,"-")</f>
        <v/>
      </c>
      <c r="F30" s="42">
        <f>IFERROR(F29/F6,"-")</f>
        <v/>
      </c>
      <c r="G30" s="43">
        <f>IFERROR(G29/G6,"-")</f>
        <v/>
      </c>
    </row>
    <row r="31">
      <c r="A31" s="21" t="n"/>
      <c r="B31" s="21" t="n"/>
      <c r="C31" s="21" t="n"/>
      <c r="D31" s="21" t="n"/>
      <c r="E31" s="21" t="n"/>
      <c r="F31" s="21" t="n"/>
      <c r="G31" s="21" t="n"/>
    </row>
    <row r="32">
      <c r="A32" s="22" t="inlineStr">
        <is>
          <t>🏢  КОСВЕННЫЕ РАСХОДЫ (БЭК-ОФИС)</t>
        </is>
      </c>
      <c r="B32" s="23" t="n"/>
      <c r="C32" s="23" t="n"/>
      <c r="D32" s="23" t="n"/>
      <c r="E32" s="23" t="n"/>
      <c r="F32" s="23" t="n"/>
      <c r="G32" s="23" t="n"/>
    </row>
    <row r="33">
      <c r="A33" s="31" t="inlineStr">
        <is>
          <t xml:space="preserve">  Расход Бэк-Офис</t>
        </is>
      </c>
      <c r="B33" s="32" t="n">
        <v>55821</v>
      </c>
      <c r="C33" s="32" t="n">
        <v>84919</v>
      </c>
      <c r="D33" s="32" t="n">
        <v>55821</v>
      </c>
      <c r="E33" s="32" t="n">
        <v>84919</v>
      </c>
      <c r="F33" s="33">
        <f>SUM(B33,C33,D33,E33)</f>
        <v/>
      </c>
      <c r="G33" s="34" t="n">
        <v>281480</v>
      </c>
    </row>
    <row r="34">
      <c r="A34" s="16" t="inlineStr">
        <is>
          <t>ИТОГО КОСВЕННЫЕ</t>
        </is>
      </c>
      <c r="B34" s="27">
        <f>SUM(B33)</f>
        <v/>
      </c>
      <c r="C34" s="27">
        <f>SUM(C33)</f>
        <v/>
      </c>
      <c r="D34" s="27">
        <f>SUM(D33)</f>
        <v/>
      </c>
      <c r="E34" s="27">
        <f>SUM(E33)</f>
        <v/>
      </c>
      <c r="F34" s="27">
        <f>SUM(F33)</f>
        <v/>
      </c>
      <c r="G34" s="28">
        <f>SUM(G33)</f>
        <v/>
      </c>
    </row>
    <row r="35">
      <c r="A35" s="21" t="n"/>
      <c r="B35" s="21" t="n"/>
      <c r="C35" s="21" t="n"/>
      <c r="D35" s="21" t="n"/>
      <c r="E35" s="21" t="n"/>
      <c r="F35" s="21" t="n"/>
      <c r="G35" s="21" t="n"/>
    </row>
    <row r="36">
      <c r="A36" s="16" t="inlineStr">
        <is>
          <t>ОПЕРАЦИОННАЯ ПРИБЫЛЬ</t>
        </is>
      </c>
      <c r="B36" s="27">
        <f>B29-B34</f>
        <v/>
      </c>
      <c r="C36" s="27">
        <f>C29-C34</f>
        <v/>
      </c>
      <c r="D36" s="27">
        <f>D29-D34</f>
        <v/>
      </c>
      <c r="E36" s="27">
        <f>E29-E34</f>
        <v/>
      </c>
      <c r="F36" s="27">
        <f>F29-F34</f>
        <v/>
      </c>
      <c r="G36" s="26">
        <f>G29-G34</f>
        <v/>
      </c>
    </row>
    <row r="37">
      <c r="A37" s="41" t="inlineStr">
        <is>
          <t xml:space="preserve">  Операционная рентабельность</t>
        </is>
      </c>
      <c r="B37" s="42">
        <f>IFERROR(B36/B6,"-")</f>
        <v/>
      </c>
      <c r="C37" s="42">
        <f>IFERROR(C36/C6,"-")</f>
        <v/>
      </c>
      <c r="D37" s="42">
        <f>IFERROR(D36/D6,"-")</f>
        <v/>
      </c>
      <c r="E37" s="42">
        <f>IFERROR(E36/E6,"-")</f>
        <v/>
      </c>
      <c r="F37" s="42">
        <f>IFERROR(F36/F6,"-")</f>
        <v/>
      </c>
      <c r="G37" s="43">
        <f>IFERROR(G36/G6,"-")</f>
        <v/>
      </c>
    </row>
    <row r="38">
      <c r="A38" s="21" t="n"/>
      <c r="B38" s="21" t="n"/>
      <c r="C38" s="21" t="n"/>
      <c r="D38" s="21" t="n"/>
      <c r="E38" s="21" t="n"/>
      <c r="F38" s="21" t="n"/>
      <c r="G38" s="21" t="n"/>
    </row>
    <row r="39">
      <c r="A39" s="22" t="inlineStr">
        <is>
          <t>📋  НАЛОГИ</t>
        </is>
      </c>
      <c r="B39" s="23" t="n"/>
      <c r="C39" s="23" t="n"/>
      <c r="D39" s="23" t="n"/>
      <c r="E39" s="23" t="n"/>
      <c r="F39" s="23" t="n"/>
      <c r="G39" s="23" t="n"/>
    </row>
    <row r="40">
      <c r="A40" s="31" t="inlineStr">
        <is>
          <t xml:space="preserve">  Налоги УСН</t>
        </is>
      </c>
      <c r="B40" s="32" t="n"/>
      <c r="C40" s="32" t="n">
        <v>10000</v>
      </c>
      <c r="D40" s="32" t="n"/>
      <c r="E40" s="32" t="n">
        <v>10000</v>
      </c>
      <c r="F40" s="33">
        <f>SUM(B40,C40,D40,E40)</f>
        <v/>
      </c>
      <c r="G40" s="34" t="n">
        <v>20000</v>
      </c>
    </row>
    <row r="41">
      <c r="A41" s="31" t="inlineStr">
        <is>
          <t xml:space="preserve">  НДС 5%</t>
        </is>
      </c>
      <c r="B41" s="32" t="n">
        <v>38679</v>
      </c>
      <c r="C41" s="32" t="n">
        <v>31141</v>
      </c>
      <c r="D41" s="32" t="n">
        <v>38679</v>
      </c>
      <c r="E41" s="32" t="n">
        <v>31141</v>
      </c>
      <c r="F41" s="33">
        <f>SUM(B41,C41,D41,E41)</f>
        <v/>
      </c>
      <c r="G41" s="26" t="n">
        <v>230320</v>
      </c>
    </row>
    <row r="42">
      <c r="A42" s="16" t="inlineStr">
        <is>
          <t>ИТОГО НАЛОГИ</t>
        </is>
      </c>
      <c r="B42" s="27">
        <f>SUM(B40,B41)</f>
        <v/>
      </c>
      <c r="C42" s="27">
        <f>SUM(C40,C41)</f>
        <v/>
      </c>
      <c r="D42" s="27">
        <f>SUM(D40,D41)</f>
        <v/>
      </c>
      <c r="E42" s="27">
        <f>SUM(E40,E41)</f>
        <v/>
      </c>
      <c r="F42" s="27">
        <f>SUM(F40,F41)</f>
        <v/>
      </c>
      <c r="G42" s="28">
        <f>SUM(G40,G41)</f>
        <v/>
      </c>
    </row>
    <row r="43">
      <c r="A43" s="21" t="n"/>
      <c r="B43" s="21" t="n"/>
      <c r="C43" s="21" t="n"/>
      <c r="D43" s="21" t="n"/>
      <c r="E43" s="21" t="n"/>
      <c r="F43" s="21" t="n"/>
      <c r="G43" s="21" t="n"/>
    </row>
    <row r="44">
      <c r="A44" s="16" t="inlineStr">
        <is>
          <t>✅ ЧИСТАЯ ПРИБЫЛЬ</t>
        </is>
      </c>
      <c r="B44" s="27">
        <f>B36-B42</f>
        <v/>
      </c>
      <c r="C44" s="27">
        <f>C36-C42</f>
        <v/>
      </c>
      <c r="D44" s="27">
        <f>D36-D42</f>
        <v/>
      </c>
      <c r="E44" s="27">
        <f>E36-E42</f>
        <v/>
      </c>
      <c r="F44" s="27">
        <f>F36-F42</f>
        <v/>
      </c>
      <c r="G44" s="26">
        <f>G36-G42</f>
        <v/>
      </c>
    </row>
    <row r="45">
      <c r="A45" s="41" t="inlineStr">
        <is>
          <t xml:space="preserve">  Рентабельность чистой прибыли</t>
        </is>
      </c>
      <c r="B45" s="42">
        <f>IFERROR(B44/B6,"-")</f>
        <v/>
      </c>
      <c r="C45" s="42">
        <f>IFERROR(C44/C6,"-")</f>
        <v/>
      </c>
      <c r="D45" s="42">
        <f>IFERROR(D44/D6,"-")</f>
        <v/>
      </c>
      <c r="E45" s="42">
        <f>IFERROR(E44/E6,"-")</f>
        <v/>
      </c>
      <c r="F45" s="42">
        <f>IFERROR(F44/F6,"-")</f>
        <v/>
      </c>
      <c r="G45" s="43">
        <f>IFERROR(G44/G6,"-")</f>
        <v/>
      </c>
    </row>
    <row r="46">
      <c r="A46" s="21" t="n"/>
      <c r="B46" s="21" t="n"/>
      <c r="C46" s="21" t="n"/>
      <c r="D46" s="21" t="n"/>
      <c r="E46" s="21" t="n"/>
      <c r="F46" s="21" t="n"/>
      <c r="G46" s="21" t="n"/>
    </row>
    <row r="47">
      <c r="A47" s="2" t="inlineStr">
        <is>
          <t>💡  РЕЗУЛЬТАТ СЦЕНАРИЯ</t>
        </is>
      </c>
    </row>
    <row r="48">
      <c r="A48" s="5" t="inlineStr">
        <is>
          <t>Текущая выручка (4 мес.)</t>
        </is>
      </c>
      <c r="B48" s="44" t="inlineStr">
        <is>
          <t>2,615,844 ₽</t>
        </is>
      </c>
      <c r="C48" s="45" t="n"/>
      <c r="D48" s="45" t="n"/>
      <c r="E48" s="45" t="n"/>
      <c r="F48" s="45" t="n"/>
      <c r="G48" s="45" t="n"/>
    </row>
    <row r="49">
      <c r="A49" s="5" t="inlineStr">
        <is>
          <t>Прирост ФОТ (30%)</t>
        </is>
      </c>
      <c r="B49" s="44" t="inlineStr">
        <is>
          <t>+746,489 ₽</t>
        </is>
      </c>
      <c r="C49" s="45" t="n"/>
      <c r="D49" s="45" t="n"/>
      <c r="E49" s="45" t="n"/>
      <c r="F49" s="45" t="n"/>
      <c r="G49" s="45" t="n"/>
    </row>
    <row r="50">
      <c r="A50" s="5" t="inlineStr">
        <is>
          <t>Цель: рентабельность ЧП</t>
        </is>
      </c>
      <c r="B50" s="44" t="inlineStr">
        <is>
          <t>20%</t>
        </is>
      </c>
      <c r="C50" s="45" t="n"/>
      <c r="D50" s="45" t="n"/>
      <c r="E50" s="45" t="n"/>
      <c r="F50" s="45" t="n"/>
      <c r="G50" s="45" t="n"/>
    </row>
    <row r="51">
      <c r="A51" s="5" t="inlineStr">
        <is>
          <t>───────────────────────────────────</t>
        </is>
      </c>
      <c r="B51" s="44" t="inlineStr"/>
      <c r="C51" s="45" t="n"/>
      <c r="D51" s="45" t="n"/>
      <c r="E51" s="45" t="n"/>
      <c r="F51" s="45" t="n"/>
      <c r="G51" s="45" t="n"/>
    </row>
    <row r="52">
      <c r="A52" s="16" t="inlineStr">
        <is>
          <t>Требуемая выручка (новый контракт)</t>
        </is>
      </c>
      <c r="B52" s="46" t="inlineStr">
        <is>
          <t>4,836,736 ₽</t>
        </is>
      </c>
      <c r="C52" s="47" t="n"/>
      <c r="D52" s="47" t="n"/>
      <c r="E52" s="47" t="n"/>
      <c r="F52" s="47" t="n"/>
      <c r="G52" s="47" t="n"/>
    </row>
    <row r="53">
      <c r="A53" s="16" t="inlineStr">
        <is>
          <t>Прирост выручки</t>
        </is>
      </c>
      <c r="B53" s="46" t="inlineStr">
        <is>
          <t>+2,220,892 ₽</t>
        </is>
      </c>
      <c r="C53" s="47" t="n"/>
      <c r="D53" s="47" t="n"/>
      <c r="E53" s="47" t="n"/>
      <c r="F53" s="47" t="n"/>
      <c r="G53" s="47" t="n"/>
    </row>
    <row r="54">
      <c r="A54" s="16" t="inlineStr">
        <is>
          <t>Прирост, %</t>
        </is>
      </c>
      <c r="B54" s="46" t="inlineStr">
        <is>
          <t>+84.9%</t>
        </is>
      </c>
      <c r="C54" s="47" t="n"/>
      <c r="D54" s="47" t="n"/>
      <c r="E54" s="47" t="n"/>
      <c r="F54" s="47" t="n"/>
      <c r="G54" s="47" t="n"/>
    </row>
    <row r="55">
      <c r="A55" s="5" t="inlineStr">
        <is>
          <t>───────────────────────────────────</t>
        </is>
      </c>
      <c r="B55" s="44" t="inlineStr"/>
      <c r="C55" s="45" t="n"/>
      <c r="D55" s="45" t="n"/>
      <c r="E55" s="45" t="n"/>
      <c r="F55" s="45" t="n"/>
      <c r="G55" s="45" t="n"/>
    </row>
    <row r="56">
      <c r="A56" s="16" t="inlineStr">
        <is>
          <t>Новая месячная ставка контракта</t>
        </is>
      </c>
      <c r="B56" s="46" t="inlineStr">
        <is>
          <t>1,209,184 ₽/мес</t>
        </is>
      </c>
      <c r="C56" s="47" t="n"/>
      <c r="D56" s="47" t="n"/>
      <c r="E56" s="47" t="n"/>
      <c r="F56" s="47" t="n"/>
      <c r="G56" s="47" t="n"/>
    </row>
    <row r="57">
      <c r="A57" s="5" t="inlineStr">
        <is>
          <t>Текущая месячная ставка</t>
        </is>
      </c>
      <c r="B57" s="44" t="inlineStr">
        <is>
          <t>653,961 ₽/мес</t>
        </is>
      </c>
      <c r="C57" s="45" t="n"/>
      <c r="D57" s="45" t="n"/>
      <c r="E57" s="45" t="n"/>
      <c r="F57" s="45" t="n"/>
      <c r="G57" s="45" t="n"/>
    </row>
    <row r="58">
      <c r="A58" s="16" t="inlineStr">
        <is>
          <t>Прирост мес. ставки</t>
        </is>
      </c>
      <c r="B58" s="46" t="inlineStr">
        <is>
          <t>+555,223 ₽/мес</t>
        </is>
      </c>
      <c r="C58" s="47" t="n"/>
      <c r="D58" s="47" t="n"/>
      <c r="E58" s="47" t="n"/>
      <c r="F58" s="47" t="n"/>
      <c r="G58" s="47" t="n"/>
    </row>
    <row r="59">
      <c r="A59" s="5" t="inlineStr">
        <is>
          <t>───────────────────────────────────</t>
        </is>
      </c>
      <c r="B59" s="44" t="inlineStr"/>
      <c r="C59" s="45" t="n"/>
      <c r="D59" s="45" t="n"/>
      <c r="E59" s="45" t="n"/>
      <c r="F59" s="45" t="n"/>
      <c r="G59" s="45" t="n"/>
    </row>
    <row r="60">
      <c r="A60" s="16" t="inlineStr">
        <is>
          <t>Чистая прибыль (сценарий)</t>
        </is>
      </c>
      <c r="B60" s="46" t="inlineStr">
        <is>
          <t>967,347 ₽</t>
        </is>
      </c>
      <c r="C60" s="47" t="n"/>
      <c r="D60" s="47" t="n"/>
      <c r="E60" s="47" t="n"/>
      <c r="F60" s="47" t="n"/>
      <c r="G60" s="47" t="n"/>
    </row>
    <row r="61">
      <c r="A61" s="16" t="inlineStr">
        <is>
          <t>Рентабельность ЧП (сценарий)</t>
        </is>
      </c>
      <c r="B61" s="46" t="inlineStr">
        <is>
          <t>20.0%</t>
        </is>
      </c>
      <c r="C61" s="47" t="n"/>
      <c r="D61" s="47" t="n"/>
      <c r="E61" s="47" t="n"/>
      <c r="F61" s="47" t="n"/>
      <c r="G61" s="47" t="n"/>
    </row>
  </sheetData>
  <mergeCells count="9">
    <mergeCell ref="A32:G32"/>
    <mergeCell ref="A13:G13"/>
    <mergeCell ref="A1:G1"/>
    <mergeCell ref="A9:G9"/>
    <mergeCell ref="A8:G8"/>
    <mergeCell ref="A39:G39"/>
    <mergeCell ref="A4:G4"/>
    <mergeCell ref="A20:G20"/>
    <mergeCell ref="A47:G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7" customWidth="1" min="7" max="7"/>
  </cols>
  <sheetData>
    <row r="1" ht="26" customHeight="1">
      <c r="A1" s="1" t="inlineStr">
        <is>
          <t>ЖК Астрид  |  Сценарий: ФОТ +40%  →  цель ЧП 20%</t>
        </is>
      </c>
    </row>
    <row r="2">
      <c r="A2" s="19" t="inlineStr">
        <is>
          <t>Статья</t>
        </is>
      </c>
      <c r="B2" s="19" t="inlineStr">
        <is>
          <t>Июнь</t>
        </is>
      </c>
      <c r="C2" s="19" t="inlineStr">
        <is>
          <t>Июль</t>
        </is>
      </c>
      <c r="D2" s="19" t="inlineStr">
        <is>
          <t>Август</t>
        </is>
      </c>
      <c r="E2" s="19" t="inlineStr">
        <is>
          <t>Сентябрь</t>
        </is>
      </c>
      <c r="F2" s="19" t="inlineStr">
        <is>
          <t>Итого</t>
        </is>
      </c>
      <c r="G2" s="20" t="inlineStr">
        <is>
          <t>Сценарий ФОТ +40% → ЧП 20%</t>
        </is>
      </c>
    </row>
    <row r="3">
      <c r="A3" s="21" t="n"/>
      <c r="B3" s="21" t="n"/>
      <c r="C3" s="21" t="n"/>
      <c r="D3" s="21" t="n"/>
      <c r="E3" s="21" t="n"/>
      <c r="F3" s="21" t="n"/>
      <c r="G3" s="21" t="n"/>
    </row>
    <row r="4">
      <c r="A4" s="22" t="inlineStr">
        <is>
          <t>📈  ВЫРУЧКА</t>
        </is>
      </c>
      <c r="B4" s="23" t="n"/>
      <c r="C4" s="23" t="n"/>
      <c r="D4" s="23" t="n"/>
      <c r="E4" s="23" t="n"/>
      <c r="F4" s="23" t="n"/>
      <c r="G4" s="23" t="n"/>
    </row>
    <row r="5">
      <c r="A5" s="15" t="inlineStr">
        <is>
          <t xml:space="preserve">  Реализация услуг Клининг (ОД)</t>
        </is>
      </c>
      <c r="B5" s="24" t="n">
        <v>653961</v>
      </c>
      <c r="C5" s="24" t="n">
        <v>653961</v>
      </c>
      <c r="D5" s="24" t="n">
        <v>653961</v>
      </c>
      <c r="E5" s="24" t="n">
        <v>653961</v>
      </c>
      <c r="F5" s="25">
        <f>SUM(B5,C5,D5,E5)</f>
        <v/>
      </c>
      <c r="G5" s="26" t="n">
        <v>5167460</v>
      </c>
    </row>
    <row r="6">
      <c r="A6" s="16" t="inlineStr">
        <is>
          <t>ИТОГО ВЫРУЧКА</t>
        </is>
      </c>
      <c r="B6" s="27">
        <f>SUM(B5)</f>
        <v/>
      </c>
      <c r="C6" s="27">
        <f>SUM(C5)</f>
        <v/>
      </c>
      <c r="D6" s="27">
        <f>SUM(D5)</f>
        <v/>
      </c>
      <c r="E6" s="27">
        <f>SUM(E5)</f>
        <v/>
      </c>
      <c r="F6" s="27">
        <f>SUM(F5)</f>
        <v/>
      </c>
      <c r="G6" s="28">
        <f>SUM(G5)</f>
        <v/>
      </c>
    </row>
    <row r="7">
      <c r="A7" s="21" t="n"/>
      <c r="B7" s="21" t="n"/>
      <c r="C7" s="21" t="n"/>
      <c r="D7" s="21" t="n"/>
      <c r="E7" s="21" t="n"/>
      <c r="F7" s="21" t="n"/>
      <c r="G7" s="21" t="n"/>
    </row>
    <row r="8">
      <c r="A8" s="22" t="inlineStr">
        <is>
          <t>💸  ПРЯМЫЕ РАСХОДЫ</t>
        </is>
      </c>
      <c r="B8" s="23" t="n"/>
      <c r="C8" s="23" t="n"/>
      <c r="D8" s="23" t="n"/>
      <c r="E8" s="23" t="n"/>
      <c r="F8" s="23" t="n"/>
      <c r="G8" s="23" t="n"/>
    </row>
    <row r="9">
      <c r="A9" s="29" t="inlineStr">
        <is>
          <t xml:space="preserve">  Переменные расходы</t>
        </is>
      </c>
      <c r="B9" s="30" t="n"/>
      <c r="C9" s="30" t="n"/>
      <c r="D9" s="30" t="n"/>
      <c r="E9" s="30" t="n"/>
      <c r="F9" s="30" t="n"/>
      <c r="G9" s="30" t="n"/>
    </row>
    <row r="10">
      <c r="A10" s="31" t="inlineStr">
        <is>
          <t xml:space="preserve">    Расходные материалы МОП</t>
        </is>
      </c>
      <c r="B10" s="32" t="n">
        <v>10588</v>
      </c>
      <c r="C10" s="32" t="n">
        <v>21588</v>
      </c>
      <c r="D10" s="32" t="n">
        <v>10588</v>
      </c>
      <c r="E10" s="32" t="n">
        <v>10000</v>
      </c>
      <c r="F10" s="33">
        <f>SUM(B10,C10,D10,E10)</f>
        <v/>
      </c>
      <c r="G10" s="34" t="n">
        <v>52764</v>
      </c>
    </row>
    <row r="11">
      <c r="A11" s="31" t="inlineStr">
        <is>
          <t xml:space="preserve">    Расходные материалы ПТ</t>
        </is>
      </c>
      <c r="B11" s="32" t="n"/>
      <c r="C11" s="32" t="n">
        <v>5000</v>
      </c>
      <c r="D11" s="32" t="n"/>
      <c r="E11" s="32" t="n">
        <v>5000</v>
      </c>
      <c r="F11" s="33">
        <f>SUM(B11,C11,D11,E11)</f>
        <v/>
      </c>
      <c r="G11" s="34" t="n">
        <v>10000</v>
      </c>
    </row>
    <row r="12">
      <c r="A12" s="35" t="inlineStr">
        <is>
          <t xml:space="preserve">  Итого переменные</t>
        </is>
      </c>
      <c r="B12" s="36">
        <f>SUM(B10,B11)</f>
        <v/>
      </c>
      <c r="C12" s="36">
        <f>SUM(C10,C11)</f>
        <v/>
      </c>
      <c r="D12" s="36">
        <f>SUM(D10,D11)</f>
        <v/>
      </c>
      <c r="E12" s="36">
        <f>SUM(E10,E11)</f>
        <v/>
      </c>
      <c r="F12" s="36">
        <f>SUM(F10,F11)</f>
        <v/>
      </c>
      <c r="G12" s="34">
        <f>SUM(G10,G11)</f>
        <v/>
      </c>
    </row>
    <row r="13">
      <c r="A13" s="29" t="inlineStr">
        <is>
          <t xml:space="preserve">  ФОТ прямой (МОП + ПТ)</t>
        </is>
      </c>
      <c r="B13" s="30" t="n"/>
      <c r="C13" s="30" t="n"/>
      <c r="D13" s="30" t="n"/>
      <c r="E13" s="30" t="n"/>
      <c r="F13" s="30" t="n"/>
      <c r="G13" s="30" t="n"/>
    </row>
    <row r="14">
      <c r="A14" s="8" t="inlineStr">
        <is>
          <t xml:space="preserve">    Заработная плата МОП</t>
        </is>
      </c>
      <c r="B14" s="37" t="n">
        <v>209689</v>
      </c>
      <c r="C14" s="37" t="n">
        <v>210030</v>
      </c>
      <c r="D14" s="37" t="n">
        <v>209689</v>
      </c>
      <c r="E14" s="37" t="n">
        <v>210030</v>
      </c>
      <c r="F14" s="38">
        <f>SUM(B14,C14,D14,E14)</f>
        <v/>
      </c>
      <c r="G14" s="26" t="n">
        <v>1175214</v>
      </c>
    </row>
    <row r="15">
      <c r="A15" s="8" t="inlineStr">
        <is>
          <t xml:space="preserve">    Заработная плата ПТ</t>
        </is>
      </c>
      <c r="B15" s="37" t="n">
        <v>294494</v>
      </c>
      <c r="C15" s="37" t="n">
        <v>258000</v>
      </c>
      <c r="D15" s="37" t="n">
        <v>294494</v>
      </c>
      <c r="E15" s="37" t="n">
        <v>258000</v>
      </c>
      <c r="F15" s="38">
        <f>SUM(B15,C15,D15,E15)</f>
        <v/>
      </c>
      <c r="G15" s="26" t="n">
        <v>1546984</v>
      </c>
    </row>
    <row r="16">
      <c r="A16" s="8" t="inlineStr">
        <is>
          <t xml:space="preserve">    Налоги с ФОТ (МОП)</t>
        </is>
      </c>
      <c r="B16" s="37" t="n">
        <v>19188</v>
      </c>
      <c r="C16" s="37" t="n">
        <v>64800</v>
      </c>
      <c r="D16" s="37" t="n">
        <v>19188</v>
      </c>
      <c r="E16" s="37" t="n">
        <v>42000</v>
      </c>
      <c r="F16" s="38">
        <f>SUM(B16,C16,D16,E16)</f>
        <v/>
      </c>
      <c r="G16" s="26" t="n">
        <v>203246</v>
      </c>
    </row>
    <row r="17">
      <c r="A17" s="8" t="inlineStr">
        <is>
          <t xml:space="preserve">    Налоги с ФОТ (ПТ)</t>
        </is>
      </c>
      <c r="B17" s="37" t="n">
        <v>13381</v>
      </c>
      <c r="C17" s="37" t="n">
        <v>5013</v>
      </c>
      <c r="D17" s="37" t="n">
        <v>13381</v>
      </c>
      <c r="E17" s="37" t="n"/>
      <c r="F17" s="38">
        <f>SUM(B17,C17,D17,E17)</f>
        <v/>
      </c>
      <c r="G17" s="26" t="n">
        <v>44484</v>
      </c>
    </row>
    <row r="18">
      <c r="A18" s="7" t="inlineStr">
        <is>
          <t xml:space="preserve">  Итого ФОТ прямой</t>
        </is>
      </c>
      <c r="B18" s="38">
        <f>SUM(B14,B15,B16,B17)</f>
        <v/>
      </c>
      <c r="C18" s="38">
        <f>SUM(C14,C15,C16,C17)</f>
        <v/>
      </c>
      <c r="D18" s="38">
        <f>SUM(D14,D15,D16,D17)</f>
        <v/>
      </c>
      <c r="E18" s="38">
        <f>SUM(E14,E15,E16,E17)</f>
        <v/>
      </c>
      <c r="F18" s="38">
        <f>SUM(F14,F15,F16,F17)</f>
        <v/>
      </c>
      <c r="G18" s="28">
        <f>SUM(G14,G15,G16,G17)</f>
        <v/>
      </c>
    </row>
    <row r="19">
      <c r="A19" s="31" t="inlineStr">
        <is>
          <t xml:space="preserve">    Ремонт оборудования (ПТ)</t>
        </is>
      </c>
      <c r="B19" s="32" t="n">
        <v>1019</v>
      </c>
      <c r="C19" s="32" t="n"/>
      <c r="D19" s="32" t="n">
        <v>1019</v>
      </c>
      <c r="E19" s="32" t="n"/>
      <c r="F19" s="33">
        <f>SUM(B19,C19,D19,E19)</f>
        <v/>
      </c>
      <c r="G19" s="34" t="n">
        <v>2038</v>
      </c>
    </row>
    <row r="20">
      <c r="A20" s="29" t="inlineStr">
        <is>
          <t xml:space="preserve">  ФОТ АУП + Общехозяйственные</t>
        </is>
      </c>
      <c r="B20" s="30" t="n"/>
      <c r="C20" s="30" t="n"/>
      <c r="D20" s="30" t="n"/>
      <c r="E20" s="30" t="n"/>
      <c r="F20" s="30" t="n"/>
      <c r="G20" s="30" t="n"/>
    </row>
    <row r="21">
      <c r="A21" s="8" t="inlineStr">
        <is>
          <t xml:space="preserve">    Заработная плата МО АУП</t>
        </is>
      </c>
      <c r="B21" s="37" t="n">
        <v>60000</v>
      </c>
      <c r="C21" s="37" t="n">
        <v>60000</v>
      </c>
      <c r="D21" s="37" t="n">
        <v>60000</v>
      </c>
      <c r="E21" s="37" t="n">
        <v>60000</v>
      </c>
      <c r="F21" s="38">
        <f>SUM(B21,C21,D21,E21)</f>
        <v/>
      </c>
      <c r="G21" s="26" t="n">
        <v>336000</v>
      </c>
    </row>
    <row r="22">
      <c r="A22" s="31" t="inlineStr">
        <is>
          <t xml:space="preserve">    Аутсорс (направления)</t>
        </is>
      </c>
      <c r="B22" s="32" t="n">
        <v>10000</v>
      </c>
      <c r="C22" s="32" t="n">
        <v>7500</v>
      </c>
      <c r="D22" s="32" t="n">
        <v>10000</v>
      </c>
      <c r="E22" s="32" t="n">
        <v>2500</v>
      </c>
      <c r="F22" s="33">
        <f>SUM(B22,C22,D22,E22)</f>
        <v/>
      </c>
      <c r="G22" s="34" t="n">
        <v>30000</v>
      </c>
    </row>
    <row r="23">
      <c r="A23" s="31" t="inlineStr">
        <is>
          <t xml:space="preserve">    Инструменты: ГСМ</t>
        </is>
      </c>
      <c r="B23" s="32" t="n">
        <v>2000</v>
      </c>
      <c r="C23" s="32" t="n">
        <v>1000</v>
      </c>
      <c r="D23" s="32" t="n">
        <v>2000</v>
      </c>
      <c r="E23" s="32" t="n">
        <v>1000</v>
      </c>
      <c r="F23" s="33">
        <f>SUM(B23,C23,D23,E23)</f>
        <v/>
      </c>
      <c r="G23" s="34" t="n">
        <v>6000</v>
      </c>
    </row>
    <row r="24">
      <c r="A24" s="8" t="inlineStr">
        <is>
          <t xml:space="preserve">    Налоги с ФОТ (ИП)</t>
        </is>
      </c>
      <c r="B24" s="37" t="n">
        <v>26500</v>
      </c>
      <c r="C24" s="37" t="n">
        <v>36960</v>
      </c>
      <c r="D24" s="37" t="n">
        <v>26500</v>
      </c>
      <c r="E24" s="37" t="n">
        <v>36960</v>
      </c>
      <c r="F24" s="38">
        <f>SUM(B24,C24,D24,E24)</f>
        <v/>
      </c>
      <c r="G24" s="26" t="n">
        <v>177688</v>
      </c>
    </row>
    <row r="25">
      <c r="A25" s="31" t="inlineStr">
        <is>
          <t xml:space="preserve">    Комиссия за перевод ЗП</t>
        </is>
      </c>
      <c r="B25" s="32" t="n">
        <v>1000</v>
      </c>
      <c r="C25" s="32" t="n"/>
      <c r="D25" s="32" t="n">
        <v>1000</v>
      </c>
      <c r="E25" s="32" t="n"/>
      <c r="F25" s="33">
        <f>SUM(B25,C25,D25,E25)</f>
        <v/>
      </c>
      <c r="G25" s="34" t="n">
        <v>2000</v>
      </c>
    </row>
    <row r="26">
      <c r="A26" s="7" t="inlineStr">
        <is>
          <t xml:space="preserve">  Итого ФОТ АУП + Общехоз</t>
        </is>
      </c>
      <c r="B26" s="38">
        <f>SUM(B21,B22,B23,B24,B25)</f>
        <v/>
      </c>
      <c r="C26" s="38">
        <f>SUM(C21,C22,C23,C24,C25)</f>
        <v/>
      </c>
      <c r="D26" s="38">
        <f>SUM(D21,D22,D23,D24,D25)</f>
        <v/>
      </c>
      <c r="E26" s="38">
        <f>SUM(E21,E22,E23,E24,E25)</f>
        <v/>
      </c>
      <c r="F26" s="38">
        <f>SUM(F21,F22,F23,F24,F25)</f>
        <v/>
      </c>
      <c r="G26" s="28">
        <f>SUM(G21,G22,G23,G24,G25)</f>
        <v/>
      </c>
    </row>
    <row r="27">
      <c r="A27" s="39" t="inlineStr">
        <is>
          <t>ИТОГО ПРЯМЫЕ РАСХОДЫ</t>
        </is>
      </c>
      <c r="B27" s="40">
        <f>SUM(B12,B18,B19,B26)</f>
        <v/>
      </c>
      <c r="C27" s="40">
        <f>SUM(C12,C18,C19,C26)</f>
        <v/>
      </c>
      <c r="D27" s="40">
        <f>SUM(D12,D18,D19,D26)</f>
        <v/>
      </c>
      <c r="E27" s="40">
        <f>SUM(E12,E18,E19,E26)</f>
        <v/>
      </c>
      <c r="F27" s="40">
        <f>SUM(F12,F18,F19,F26)</f>
        <v/>
      </c>
      <c r="G27" s="28">
        <f>SUM(G12,G18,G19,G26)</f>
        <v/>
      </c>
    </row>
    <row r="28">
      <c r="A28" s="21" t="n"/>
      <c r="B28" s="21" t="n"/>
      <c r="C28" s="21" t="n"/>
      <c r="D28" s="21" t="n"/>
      <c r="E28" s="21" t="n"/>
      <c r="F28" s="21" t="n"/>
      <c r="G28" s="21" t="n"/>
    </row>
    <row r="29">
      <c r="A29" s="16" t="inlineStr">
        <is>
          <t>ВАЛОВАЯ ПРИБЫЛЬ</t>
        </is>
      </c>
      <c r="B29" s="27">
        <f>B6-B27</f>
        <v/>
      </c>
      <c r="C29" s="27">
        <f>C6-C27</f>
        <v/>
      </c>
      <c r="D29" s="27">
        <f>D6-D27</f>
        <v/>
      </c>
      <c r="E29" s="27">
        <f>E6-E27</f>
        <v/>
      </c>
      <c r="F29" s="27">
        <f>F6-F27</f>
        <v/>
      </c>
      <c r="G29" s="26">
        <f>G6-G27</f>
        <v/>
      </c>
    </row>
    <row r="30">
      <c r="A30" s="41" t="inlineStr">
        <is>
          <t xml:space="preserve">  Валовая рентабельность</t>
        </is>
      </c>
      <c r="B30" s="42">
        <f>IFERROR(B29/B6,"-")</f>
        <v/>
      </c>
      <c r="C30" s="42">
        <f>IFERROR(C29/C6,"-")</f>
        <v/>
      </c>
      <c r="D30" s="42">
        <f>IFERROR(D29/D6,"-")</f>
        <v/>
      </c>
      <c r="E30" s="42">
        <f>IFERROR(E29/E6,"-")</f>
        <v/>
      </c>
      <c r="F30" s="42">
        <f>IFERROR(F29/F6,"-")</f>
        <v/>
      </c>
      <c r="G30" s="43">
        <f>IFERROR(G29/G6,"-")</f>
        <v/>
      </c>
    </row>
    <row r="31">
      <c r="A31" s="21" t="n"/>
      <c r="B31" s="21" t="n"/>
      <c r="C31" s="21" t="n"/>
      <c r="D31" s="21" t="n"/>
      <c r="E31" s="21" t="n"/>
      <c r="F31" s="21" t="n"/>
      <c r="G31" s="21" t="n"/>
    </row>
    <row r="32">
      <c r="A32" s="22" t="inlineStr">
        <is>
          <t>🏢  КОСВЕННЫЕ РАСХОДЫ (БЭК-ОФИС)</t>
        </is>
      </c>
      <c r="B32" s="23" t="n"/>
      <c r="C32" s="23" t="n"/>
      <c r="D32" s="23" t="n"/>
      <c r="E32" s="23" t="n"/>
      <c r="F32" s="23" t="n"/>
      <c r="G32" s="23" t="n"/>
    </row>
    <row r="33">
      <c r="A33" s="31" t="inlineStr">
        <is>
          <t xml:space="preserve">  Расход Бэк-Офис</t>
        </is>
      </c>
      <c r="B33" s="32" t="n">
        <v>55821</v>
      </c>
      <c r="C33" s="32" t="n">
        <v>84919</v>
      </c>
      <c r="D33" s="32" t="n">
        <v>55821</v>
      </c>
      <c r="E33" s="32" t="n">
        <v>84919</v>
      </c>
      <c r="F33" s="33">
        <f>SUM(B33,C33,D33,E33)</f>
        <v/>
      </c>
      <c r="G33" s="34" t="n">
        <v>281480</v>
      </c>
    </row>
    <row r="34">
      <c r="A34" s="16" t="inlineStr">
        <is>
          <t>ИТОГО КОСВЕННЫЕ</t>
        </is>
      </c>
      <c r="B34" s="27">
        <f>SUM(B33)</f>
        <v/>
      </c>
      <c r="C34" s="27">
        <f>SUM(C33)</f>
        <v/>
      </c>
      <c r="D34" s="27">
        <f>SUM(D33)</f>
        <v/>
      </c>
      <c r="E34" s="27">
        <f>SUM(E33)</f>
        <v/>
      </c>
      <c r="F34" s="27">
        <f>SUM(F33)</f>
        <v/>
      </c>
      <c r="G34" s="28">
        <f>SUM(G33)</f>
        <v/>
      </c>
    </row>
    <row r="35">
      <c r="A35" s="21" t="n"/>
      <c r="B35" s="21" t="n"/>
      <c r="C35" s="21" t="n"/>
      <c r="D35" s="21" t="n"/>
      <c r="E35" s="21" t="n"/>
      <c r="F35" s="21" t="n"/>
      <c r="G35" s="21" t="n"/>
    </row>
    <row r="36">
      <c r="A36" s="16" t="inlineStr">
        <is>
          <t>ОПЕРАЦИОННАЯ ПРИБЫЛЬ</t>
        </is>
      </c>
      <c r="B36" s="27">
        <f>B29-B34</f>
        <v/>
      </c>
      <c r="C36" s="27">
        <f>C29-C34</f>
        <v/>
      </c>
      <c r="D36" s="27">
        <f>D29-D34</f>
        <v/>
      </c>
      <c r="E36" s="27">
        <f>E29-E34</f>
        <v/>
      </c>
      <c r="F36" s="27">
        <f>F29-F34</f>
        <v/>
      </c>
      <c r="G36" s="26">
        <f>G29-G34</f>
        <v/>
      </c>
    </row>
    <row r="37">
      <c r="A37" s="41" t="inlineStr">
        <is>
          <t xml:space="preserve">  Операционная рентабельность</t>
        </is>
      </c>
      <c r="B37" s="42">
        <f>IFERROR(B36/B6,"-")</f>
        <v/>
      </c>
      <c r="C37" s="42">
        <f>IFERROR(C36/C6,"-")</f>
        <v/>
      </c>
      <c r="D37" s="42">
        <f>IFERROR(D36/D6,"-")</f>
        <v/>
      </c>
      <c r="E37" s="42">
        <f>IFERROR(E36/E6,"-")</f>
        <v/>
      </c>
      <c r="F37" s="42">
        <f>IFERROR(F36/F6,"-")</f>
        <v/>
      </c>
      <c r="G37" s="43">
        <f>IFERROR(G36/G6,"-")</f>
        <v/>
      </c>
    </row>
    <row r="38">
      <c r="A38" s="21" t="n"/>
      <c r="B38" s="21" t="n"/>
      <c r="C38" s="21" t="n"/>
      <c r="D38" s="21" t="n"/>
      <c r="E38" s="21" t="n"/>
      <c r="F38" s="21" t="n"/>
      <c r="G38" s="21" t="n"/>
    </row>
    <row r="39">
      <c r="A39" s="22" t="inlineStr">
        <is>
          <t>📋  НАЛОГИ</t>
        </is>
      </c>
      <c r="B39" s="23" t="n"/>
      <c r="C39" s="23" t="n"/>
      <c r="D39" s="23" t="n"/>
      <c r="E39" s="23" t="n"/>
      <c r="F39" s="23" t="n"/>
      <c r="G39" s="23" t="n"/>
    </row>
    <row r="40">
      <c r="A40" s="31" t="inlineStr">
        <is>
          <t xml:space="preserve">  Налоги УСН</t>
        </is>
      </c>
      <c r="B40" s="32" t="n"/>
      <c r="C40" s="32" t="n">
        <v>10000</v>
      </c>
      <c r="D40" s="32" t="n"/>
      <c r="E40" s="32" t="n">
        <v>10000</v>
      </c>
      <c r="F40" s="33">
        <f>SUM(B40,C40,D40,E40)</f>
        <v/>
      </c>
      <c r="G40" s="34" t="n">
        <v>20000</v>
      </c>
    </row>
    <row r="41">
      <c r="A41" s="31" t="inlineStr">
        <is>
          <t xml:space="preserve">  НДС 5%</t>
        </is>
      </c>
      <c r="B41" s="32" t="n">
        <v>38679</v>
      </c>
      <c r="C41" s="32" t="n">
        <v>31141</v>
      </c>
      <c r="D41" s="32" t="n">
        <v>38679</v>
      </c>
      <c r="E41" s="32" t="n">
        <v>31141</v>
      </c>
      <c r="F41" s="33">
        <f>SUM(B41,C41,D41,E41)</f>
        <v/>
      </c>
      <c r="G41" s="26" t="n">
        <v>246068</v>
      </c>
    </row>
    <row r="42">
      <c r="A42" s="16" t="inlineStr">
        <is>
          <t>ИТОГО НАЛОГИ</t>
        </is>
      </c>
      <c r="B42" s="27">
        <f>SUM(B40,B41)</f>
        <v/>
      </c>
      <c r="C42" s="27">
        <f>SUM(C40,C41)</f>
        <v/>
      </c>
      <c r="D42" s="27">
        <f>SUM(D40,D41)</f>
        <v/>
      </c>
      <c r="E42" s="27">
        <f>SUM(E40,E41)</f>
        <v/>
      </c>
      <c r="F42" s="27">
        <f>SUM(F40,F41)</f>
        <v/>
      </c>
      <c r="G42" s="28">
        <f>SUM(G40,G41)</f>
        <v/>
      </c>
    </row>
    <row r="43">
      <c r="A43" s="21" t="n"/>
      <c r="B43" s="21" t="n"/>
      <c r="C43" s="21" t="n"/>
      <c r="D43" s="21" t="n"/>
      <c r="E43" s="21" t="n"/>
      <c r="F43" s="21" t="n"/>
      <c r="G43" s="21" t="n"/>
    </row>
    <row r="44">
      <c r="A44" s="16" t="inlineStr">
        <is>
          <t>✅ ЧИСТАЯ ПРИБЫЛЬ</t>
        </is>
      </c>
      <c r="B44" s="27">
        <f>B36-B42</f>
        <v/>
      </c>
      <c r="C44" s="27">
        <f>C36-C42</f>
        <v/>
      </c>
      <c r="D44" s="27">
        <f>D36-D42</f>
        <v/>
      </c>
      <c r="E44" s="27">
        <f>E36-E42</f>
        <v/>
      </c>
      <c r="F44" s="27">
        <f>F36-F42</f>
        <v/>
      </c>
      <c r="G44" s="26">
        <f>G36-G42</f>
        <v/>
      </c>
    </row>
    <row r="45">
      <c r="A45" s="41" t="inlineStr">
        <is>
          <t xml:space="preserve">  Рентабельность чистой прибыли</t>
        </is>
      </c>
      <c r="B45" s="42">
        <f>IFERROR(B44/B6,"-")</f>
        <v/>
      </c>
      <c r="C45" s="42">
        <f>IFERROR(C44/C6,"-")</f>
        <v/>
      </c>
      <c r="D45" s="42">
        <f>IFERROR(D44/D6,"-")</f>
        <v/>
      </c>
      <c r="E45" s="42">
        <f>IFERROR(E44/E6,"-")</f>
        <v/>
      </c>
      <c r="F45" s="42">
        <f>IFERROR(F44/F6,"-")</f>
        <v/>
      </c>
      <c r="G45" s="43">
        <f>IFERROR(G44/G6,"-")</f>
        <v/>
      </c>
    </row>
    <row r="46">
      <c r="A46" s="21" t="n"/>
      <c r="B46" s="21" t="n"/>
      <c r="C46" s="21" t="n"/>
      <c r="D46" s="21" t="n"/>
      <c r="E46" s="21" t="n"/>
      <c r="F46" s="21" t="n"/>
      <c r="G46" s="21" t="n"/>
    </row>
    <row r="47">
      <c r="A47" s="2" t="inlineStr">
        <is>
          <t>💡  РЕЗУЛЬТАТ СЦЕНАРИЯ</t>
        </is>
      </c>
    </row>
    <row r="48">
      <c r="A48" s="5" t="inlineStr">
        <is>
          <t>Текущая выручка (4 мес.)</t>
        </is>
      </c>
      <c r="B48" s="44" t="inlineStr">
        <is>
          <t>2,615,844 ₽</t>
        </is>
      </c>
      <c r="C48" s="45" t="n"/>
      <c r="D48" s="45" t="n"/>
      <c r="E48" s="45" t="n"/>
      <c r="F48" s="45" t="n"/>
      <c r="G48" s="45" t="n"/>
    </row>
    <row r="49">
      <c r="A49" s="5" t="inlineStr">
        <is>
          <t>Прирост ФОТ (40%)</t>
        </is>
      </c>
      <c r="B49" s="44" t="inlineStr">
        <is>
          <t>+995,319 ₽</t>
        </is>
      </c>
      <c r="C49" s="45" t="n"/>
      <c r="D49" s="45" t="n"/>
      <c r="E49" s="45" t="n"/>
      <c r="F49" s="45" t="n"/>
      <c r="G49" s="45" t="n"/>
    </row>
    <row r="50">
      <c r="A50" s="5" t="inlineStr">
        <is>
          <t>Цель: рентабельность ЧП</t>
        </is>
      </c>
      <c r="B50" s="44" t="inlineStr">
        <is>
          <t>20%</t>
        </is>
      </c>
      <c r="C50" s="45" t="n"/>
      <c r="D50" s="45" t="n"/>
      <c r="E50" s="45" t="n"/>
      <c r="F50" s="45" t="n"/>
      <c r="G50" s="45" t="n"/>
    </row>
    <row r="51">
      <c r="A51" s="5" t="inlineStr">
        <is>
          <t>───────────────────────────────────</t>
        </is>
      </c>
      <c r="B51" s="44" t="inlineStr"/>
      <c r="C51" s="45" t="n"/>
      <c r="D51" s="45" t="n"/>
      <c r="E51" s="45" t="n"/>
      <c r="F51" s="45" t="n"/>
      <c r="G51" s="45" t="n"/>
    </row>
    <row r="52">
      <c r="A52" s="16" t="inlineStr">
        <is>
          <t>Требуемая выручка (новый контракт)</t>
        </is>
      </c>
      <c r="B52" s="46" t="inlineStr">
        <is>
          <t>5,167,459 ₽</t>
        </is>
      </c>
      <c r="C52" s="47" t="n"/>
      <c r="D52" s="47" t="n"/>
      <c r="E52" s="47" t="n"/>
      <c r="F52" s="47" t="n"/>
      <c r="G52" s="47" t="n"/>
    </row>
    <row r="53">
      <c r="A53" s="16" t="inlineStr">
        <is>
          <t>Прирост выручки</t>
        </is>
      </c>
      <c r="B53" s="46" t="inlineStr">
        <is>
          <t>+2,551,615 ₽</t>
        </is>
      </c>
      <c r="C53" s="47" t="n"/>
      <c r="D53" s="47" t="n"/>
      <c r="E53" s="47" t="n"/>
      <c r="F53" s="47" t="n"/>
      <c r="G53" s="47" t="n"/>
    </row>
    <row r="54">
      <c r="A54" s="16" t="inlineStr">
        <is>
          <t>Прирост, %</t>
        </is>
      </c>
      <c r="B54" s="46" t="inlineStr">
        <is>
          <t>+97.5%</t>
        </is>
      </c>
      <c r="C54" s="47" t="n"/>
      <c r="D54" s="47" t="n"/>
      <c r="E54" s="47" t="n"/>
      <c r="F54" s="47" t="n"/>
      <c r="G54" s="47" t="n"/>
    </row>
    <row r="55">
      <c r="A55" s="5" t="inlineStr">
        <is>
          <t>───────────────────────────────────</t>
        </is>
      </c>
      <c r="B55" s="44" t="inlineStr"/>
      <c r="C55" s="45" t="n"/>
      <c r="D55" s="45" t="n"/>
      <c r="E55" s="45" t="n"/>
      <c r="F55" s="45" t="n"/>
      <c r="G55" s="45" t="n"/>
    </row>
    <row r="56">
      <c r="A56" s="16" t="inlineStr">
        <is>
          <t>Новая месячная ставка контракта</t>
        </is>
      </c>
      <c r="B56" s="46" t="inlineStr">
        <is>
          <t>1,291,865 ₽/мес</t>
        </is>
      </c>
      <c r="C56" s="47" t="n"/>
      <c r="D56" s="47" t="n"/>
      <c r="E56" s="47" t="n"/>
      <c r="F56" s="47" t="n"/>
      <c r="G56" s="47" t="n"/>
    </row>
    <row r="57">
      <c r="A57" s="5" t="inlineStr">
        <is>
          <t>Текущая месячная ставка</t>
        </is>
      </c>
      <c r="B57" s="44" t="inlineStr">
        <is>
          <t>653,961 ₽/мес</t>
        </is>
      </c>
      <c r="C57" s="45" t="n"/>
      <c r="D57" s="45" t="n"/>
      <c r="E57" s="45" t="n"/>
      <c r="F57" s="45" t="n"/>
      <c r="G57" s="45" t="n"/>
    </row>
    <row r="58">
      <c r="A58" s="16" t="inlineStr">
        <is>
          <t>Прирост мес. ставки</t>
        </is>
      </c>
      <c r="B58" s="46" t="inlineStr">
        <is>
          <t>+637,904 ₽/мес</t>
        </is>
      </c>
      <c r="C58" s="47" t="n"/>
      <c r="D58" s="47" t="n"/>
      <c r="E58" s="47" t="n"/>
      <c r="F58" s="47" t="n"/>
      <c r="G58" s="47" t="n"/>
    </row>
    <row r="59">
      <c r="A59" s="5" t="inlineStr">
        <is>
          <t>───────────────────────────────────</t>
        </is>
      </c>
      <c r="B59" s="44" t="inlineStr"/>
      <c r="C59" s="45" t="n"/>
      <c r="D59" s="45" t="n"/>
      <c r="E59" s="45" t="n"/>
      <c r="F59" s="45" t="n"/>
      <c r="G59" s="45" t="n"/>
    </row>
    <row r="60">
      <c r="A60" s="16" t="inlineStr">
        <is>
          <t>Чистая прибыль (сценарий)</t>
        </is>
      </c>
      <c r="B60" s="46" t="inlineStr">
        <is>
          <t>1,033,492 ₽</t>
        </is>
      </c>
      <c r="C60" s="47" t="n"/>
      <c r="D60" s="47" t="n"/>
      <c r="E60" s="47" t="n"/>
      <c r="F60" s="47" t="n"/>
      <c r="G60" s="47" t="n"/>
    </row>
    <row r="61">
      <c r="A61" s="16" t="inlineStr">
        <is>
          <t>Рентабельность ЧП (сценарий)</t>
        </is>
      </c>
      <c r="B61" s="46" t="inlineStr">
        <is>
          <t>20.0%</t>
        </is>
      </c>
      <c r="C61" s="47" t="n"/>
      <c r="D61" s="47" t="n"/>
      <c r="E61" s="47" t="n"/>
      <c r="F61" s="47" t="n"/>
      <c r="G61" s="47" t="n"/>
    </row>
  </sheetData>
  <mergeCells count="9">
    <mergeCell ref="A32:G32"/>
    <mergeCell ref="A13:G13"/>
    <mergeCell ref="A1:G1"/>
    <mergeCell ref="A9:G9"/>
    <mergeCell ref="A8:G8"/>
    <mergeCell ref="A39:G39"/>
    <mergeCell ref="A4:G4"/>
    <mergeCell ref="A20:G20"/>
    <mergeCell ref="A47:G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2026-06-30T05:41:14Z</dcterms:created>
  <dcterms:modified xsi:type="dcterms:W3CDTF">2026-06-30T05:41:14Z</dcterms:modified>
</cp:coreProperties>
</file>